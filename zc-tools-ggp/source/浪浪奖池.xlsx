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5元档位" sheetId="1" r:id="rId1"/>
    <sheet name="20元盒子" sheetId="2" r:id="rId2"/>
    <sheet name="20元新盒子" sheetId="3" r:id="rId3"/>
    <sheet name="52元粉龙仔" sheetId="4" r:id="rId4"/>
    <sheet name="20元龙仔" sheetId="5" r:id="rId5"/>
    <sheet name="红龙魔盒" sheetId="6" r:id="rId6"/>
    <sheet name="鲲鹏秘境" sheetId="7" r:id="rId7"/>
    <sheet name="翼龙仔" sheetId="8" r:id="rId8"/>
    <sheet name="绿龙魔盒" sheetId="9" r:id="rId9"/>
    <sheet name="10元盲盒" sheetId="10" r:id="rId10"/>
    <sheet name="20元盲盒" sheetId="11" r:id="rId11"/>
    <sheet name="100元盲盒" sheetId="12" r:id="rId12"/>
    <sheet name="万圣节南瓜" sheetId="13" r:id="rId13"/>
    <sheet name="圣诞蛋" sheetId="14" r:id="rId14"/>
    <sheet name="金龙魔盒" sheetId="15" r:id="rId15"/>
    <sheet name="霸王龙140" sheetId="16" r:id="rId16"/>
    <sheet name="5元游戏" sheetId="17" r:id="rId17"/>
    <sheet name="新春锦囊" sheetId="18" r:id="rId18"/>
    <sheet name="50金蛇蛋" sheetId="19" r:id="rId19"/>
    <sheet name="20银蛇蛋" sheetId="20" r:id="rId20"/>
  </sheets>
  <calcPr calcId="0"/>
</workbook>
</file>

<file path=xl/sharedStrings.xml><?xml version="1.0" encoding="utf-8"?>
<sst xmlns="http://schemas.openxmlformats.org/spreadsheetml/2006/main">
  <si>
    <t>灵兽蛋（5元）</t>
  </si>
  <si>
    <t>1连/5连/10连</t>
  </si>
  <si>
    <t>中奖额度</t>
  </si>
  <si>
    <t>礼物主播兑换比例</t>
  </si>
  <si>
    <t>价值修正</t>
  </si>
  <si>
    <t>次数</t>
  </si>
  <si>
    <t>表显总额</t>
  </si>
  <si>
    <t>修正总额</t>
  </si>
  <si>
    <t>中奖概率</t>
  </si>
  <si>
    <t>奖励礼物</t>
  </si>
  <si>
    <t>新年礼物</t>
  </si>
  <si>
    <t>勋章</t>
  </si>
  <si>
    <t>山海币</t>
  </si>
  <si>
    <t>贝壳*1</t>
  </si>
  <si>
    <t>小龙虾*1</t>
  </si>
  <si>
    <t>丢鸡蛋*1</t>
  </si>
  <si>
    <t>爱的焰火*1</t>
  </si>
  <si>
    <t>告白城堡*1</t>
  </si>
  <si>
    <t>告白大楼*1</t>
  </si>
  <si>
    <t>/</t>
  </si>
  <si>
    <t>鱼跃龙门*1</t>
  </si>
  <si>
    <t>总次数</t>
  </si>
  <si>
    <t>表显总产出</t>
  </si>
  <si>
    <t>表显反奖比</t>
  </si>
  <si>
    <t>门票单价</t>
  </si>
  <si>
    <t>修正总产出</t>
  </si>
  <si>
    <t>修正反奖比</t>
  </si>
  <si>
    <t>门票累计</t>
  </si>
  <si>
    <t>折扣</t>
  </si>
  <si>
    <t>黄金魔盒（20元）</t>
  </si>
  <si>
    <t>1连/10连/100连</t>
  </si>
  <si>
    <t>龙鳞*1</t>
  </si>
  <si>
    <t>Love*1</t>
  </si>
  <si>
    <t>福袋*1</t>
  </si>
  <si>
    <t>聚宝盆*1</t>
  </si>
  <si>
    <t>恭喜发财*1</t>
  </si>
  <si>
    <t>海鲜派对*1</t>
  </si>
  <si>
    <t>旋风机车*1</t>
  </si>
  <si>
    <t>宝象传说*1</t>
  </si>
  <si>
    <t>龙年接力*2</t>
  </si>
  <si>
    <t>哥来了*1</t>
  </si>
  <si>
    <t>飞龙腾达*1</t>
  </si>
  <si>
    <t>神话天马*1</t>
  </si>
  <si>
    <t>百万富翁*3天</t>
  </si>
  <si>
    <t>沧海青龙*1</t>
  </si>
  <si>
    <t>龙年大吉*1</t>
  </si>
  <si>
    <t>洪荒祖龙*1</t>
  </si>
  <si>
    <t>神龙登顶*1</t>
  </si>
  <si>
    <t>史诗魔盒（20元）</t>
  </si>
  <si>
    <t>1连/5连/10连/100连</t>
  </si>
  <si>
    <t>粉龙仔（50元）</t>
  </si>
  <si>
    <t>1连</t>
  </si>
  <si>
    <t>告白情书*1</t>
  </si>
  <si>
    <t>爱情跑道*1</t>
  </si>
  <si>
    <t>爱神*1</t>
  </si>
  <si>
    <t>鹿鸣*1+告白情书*1</t>
  </si>
  <si>
    <t>泳池Party*1</t>
  </si>
  <si>
    <t>炫酷跑车*1</t>
  </si>
  <si>
    <t>梦幻钢琴*1</t>
  </si>
  <si>
    <t>爱的宣言*1+炫酷跑车*1</t>
  </si>
  <si>
    <t>爱得爆炸*1</t>
  </si>
  <si>
    <t>百万富翁3天</t>
  </si>
  <si>
    <t>龙女之恋*1</t>
  </si>
  <si>
    <t>飘红规则：≥60000飘红</t>
  </si>
  <si>
    <t>2连</t>
  </si>
  <si>
    <t>告白情书*2</t>
  </si>
  <si>
    <t>鹿鸣*1+爱情跑道*1</t>
  </si>
  <si>
    <t>爱神*2</t>
  </si>
  <si>
    <t>鹿鸣*3</t>
  </si>
  <si>
    <t>泳池Party*3</t>
  </si>
  <si>
    <t>炫酷跑车*3</t>
  </si>
  <si>
    <t>爱的宣言*1</t>
  </si>
  <si>
    <t>爱的宣言*1+梦幻钢琴*1</t>
  </si>
  <si>
    <t>天使之恋*1</t>
  </si>
  <si>
    <t>5连</t>
  </si>
  <si>
    <t>炫酷跑车*1+泳池Party*1+梦幻钢琴*2</t>
  </si>
  <si>
    <t>天使之恋*1+爱的宣言*5+梦幻钢琴*1</t>
  </si>
  <si>
    <t>10连</t>
  </si>
  <si>
    <t>炫酷跑车*1+泳池Party*1</t>
  </si>
  <si>
    <t>炫酷跑车*2+泳池Party*2</t>
  </si>
  <si>
    <t>爱神*10</t>
  </si>
  <si>
    <t>梦幻钢琴*2</t>
  </si>
  <si>
    <t>天使之恋*1+爱得爆炸*2</t>
  </si>
  <si>
    <t>传说之恋*1</t>
  </si>
  <si>
    <t>千万富翁3天</t>
  </si>
  <si>
    <t>黑龙魔盒（20元）A</t>
  </si>
  <si>
    <t>1连/2连/5连/10连/100连</t>
  </si>
  <si>
    <t>赞美鸡*1</t>
  </si>
  <si>
    <t>结婚*1</t>
  </si>
  <si>
    <t>奇幻之鲲*1</t>
  </si>
  <si>
    <t>飘红规则：≥30000飘红</t>
  </si>
  <si>
    <t>飘红规则：≥50000飘红</t>
  </si>
  <si>
    <t>白龙仔（20元）（超级白龙玩法）</t>
  </si>
  <si>
    <t>1连/2连/5连/10连</t>
  </si>
  <si>
    <t>龙牙*1</t>
  </si>
  <si>
    <t>泳池Party*1+炫酷跑车*1</t>
  </si>
  <si>
    <t>炫酷跑车*1+泳池Party*1+爱神*2</t>
  </si>
  <si>
    <t>火凤燎原*1</t>
  </si>
  <si>
    <t>黑龙魔盒（20元）B</t>
  </si>
  <si>
    <t>红龙魔盒（10元）A*2</t>
  </si>
  <si>
    <t>称号</t>
  </si>
  <si>
    <t>许愿瓶*1</t>
  </si>
  <si>
    <t>太空狗*1</t>
  </si>
  <si>
    <t>凤凰天虎*1</t>
  </si>
  <si>
    <t>1连≥10000浪花飘红</t>
  </si>
  <si>
    <t>5连≥20000浪花飘红</t>
  </si>
  <si>
    <t>10连≥20000浪花飘红</t>
  </si>
  <si>
    <t>红龙魔盒（10元）B</t>
  </si>
  <si>
    <t>鲲鹏秘境（20元）A</t>
  </si>
  <si>
    <t>1连/2连/10连/100连</t>
  </si>
  <si>
    <t>鲲翅*1</t>
  </si>
  <si>
    <t>烟花钻戒*1</t>
  </si>
  <si>
    <t>鲲飞九天*1</t>
  </si>
  <si>
    <t>鲲鹏秘境（20元）B</t>
  </si>
  <si>
    <t>翼龙仔（10元）</t>
  </si>
  <si>
    <t>赞美鸡*2</t>
  </si>
  <si>
    <t>爱神*4</t>
  </si>
  <si>
    <t>飘红规则：≥20000飘红</t>
  </si>
  <si>
    <t>剑龙仔（10元）</t>
  </si>
  <si>
    <t>蛋壳*1</t>
  </si>
  <si>
    <t>弦语乐章*1</t>
  </si>
  <si>
    <t>三折叠*1</t>
  </si>
  <si>
    <t>飞蝶情缘*1</t>
  </si>
  <si>
    <t>云川幻旅*1</t>
  </si>
  <si>
    <t>飘红规则：≥52000飘红</t>
  </si>
  <si>
    <t>100连</t>
  </si>
  <si>
    <t>绿龙魔盒（5元）</t>
  </si>
  <si>
    <t>赠爱予你*1</t>
  </si>
  <si>
    <t>东风快递*1</t>
  </si>
  <si>
    <t>奢华车库*1</t>
  </si>
  <si>
    <t>1连：20000</t>
  </si>
  <si>
    <t>2连：20000</t>
  </si>
  <si>
    <t>10连：20000</t>
  </si>
  <si>
    <t>100连：20000</t>
  </si>
  <si>
    <t>盲盒（10元）</t>
  </si>
  <si>
    <t>1连/2连/5连</t>
  </si>
  <si>
    <t>万圣节礼物</t>
  </si>
  <si>
    <t>心动*1</t>
  </si>
  <si>
    <t>小南瓜*1</t>
  </si>
  <si>
    <t>心动</t>
  </si>
  <si>
    <t>爱你哟*1</t>
  </si>
  <si>
    <t>糖果幽灵*1</t>
  </si>
  <si>
    <t>爱你哟</t>
  </si>
  <si>
    <t>海洋女神*1</t>
  </si>
  <si>
    <t>女巫猫*1</t>
  </si>
  <si>
    <t>海洋女神</t>
  </si>
  <si>
    <t>天外飞仙*1</t>
  </si>
  <si>
    <t>万圣丘比特*1</t>
  </si>
  <si>
    <t>天外飞仙</t>
  </si>
  <si>
    <t>凤凰之箭*1</t>
  </si>
  <si>
    <t>幽灵骑士*1</t>
  </si>
  <si>
    <t>凤凰之箭</t>
  </si>
  <si>
    <t>盲盒（20元）</t>
  </si>
  <si>
    <t>珍珠耳环*1</t>
  </si>
  <si>
    <t>≥40000飘红</t>
  </si>
  <si>
    <t>≥60000飘红</t>
  </si>
  <si>
    <t>盲盒（100元）</t>
  </si>
  <si>
    <t>万圣乐园*1</t>
  </si>
  <si>
    <t>泳池Party*2</t>
  </si>
  <si>
    <t>南瓜马车*2</t>
  </si>
  <si>
    <t>≥200000飘红</t>
  </si>
  <si>
    <t>≥300000飘红</t>
  </si>
  <si>
    <t>万圣蛋（20元）</t>
  </si>
  <si>
    <t>小糖果*1</t>
  </si>
  <si>
    <t>恋海鲸梦*1</t>
  </si>
  <si>
    <t>万圣君临天下*1</t>
  </si>
  <si>
    <t>≥100000飘红</t>
  </si>
  <si>
    <t>oolB</t>
  </si>
  <si>
    <t>圣诞蛋</t>
  </si>
  <si>
    <t>圣诞袜*1</t>
  </si>
  <si>
    <t>圣诞苹果*1</t>
  </si>
  <si>
    <t>圣诞之礼*1</t>
  </si>
  <si>
    <t>圣诞特攻*1</t>
  </si>
  <si>
    <t>圣诞老人*1</t>
  </si>
  <si>
    <t>圣诞夜之恋*1</t>
  </si>
  <si>
    <t>金龙魔盒（100元）A*2</t>
  </si>
  <si>
    <t>金龙尊者*1</t>
  </si>
  <si>
    <t>1连≥100000浪花飘红</t>
  </si>
  <si>
    <t>5连≥300000浪花飘红</t>
  </si>
  <si>
    <t>10连≥500000浪花飘红</t>
  </si>
  <si>
    <t>盛宴魔盒（100元）A*2</t>
  </si>
  <si>
    <t>人字拖*1</t>
  </si>
  <si>
    <t>追爱时空*1</t>
  </si>
  <si>
    <t>圣天大佛*1</t>
  </si>
  <si>
    <t>穿越时空*1</t>
  </si>
  <si>
    <t>御龙在天*1</t>
  </si>
  <si>
    <t>千万富翁*3天</t>
  </si>
  <si>
    <t>2连≥100000浪花飘红</t>
  </si>
  <si>
    <t>霸王龙仔（88.8元）</t>
  </si>
  <si>
    <t>1连，≥200000飘红</t>
  </si>
  <si>
    <t>霸王龙仔*1</t>
  </si>
  <si>
    <t>泳池party*2</t>
  </si>
  <si>
    <t>炫酷跑车*2+泳池party*1</t>
  </si>
  <si>
    <t>炫酷跑车*5+泳池party*5</t>
  </si>
  <si>
    <r>
      <rPr>
        <rFont val="等线"/>
        <sz val="10"/>
      </rPr>
      <t xml:space="preserve">爱得爆炸*3+</t>
    </r>
    <r>
      <rPr>
        <color rgb="FFEA3324"/>
        <rFont val="等线"/>
        <sz val="10"/>
      </rPr>
      <t xml:space="preserve">结婚*2</t>
    </r>
    <r>
      <rPr>
        <rFont val="等线"/>
        <sz val="10"/>
      </rPr>
      <t xml:space="preserve">+炫酷跑车*2+爱神*1+</t>
    </r>
    <r>
      <rPr>
        <color rgb="FFEA3324"/>
        <rFont val="等线"/>
        <sz val="10"/>
      </rPr>
      <t xml:space="preserve">蛋壳*6</t>
    </r>
  </si>
  <si>
    <t>霸王龙仔（88.8元*2）</t>
  </si>
  <si>
    <t>2连，≥200000飘红</t>
  </si>
  <si>
    <t>炫酷跑车*2</t>
  </si>
  <si>
    <r>
      <rPr>
        <color rgb="FFEA3324"/>
        <rFont val="等线"/>
        <sz val="10"/>
      </rPr>
      <t xml:space="preserve">结婚*1</t>
    </r>
    <r>
      <rPr>
        <color rgb="FF000000"/>
        <rFont val="等线"/>
        <sz val="10"/>
      </rPr>
      <t xml:space="preserve">+炫酷跑车*2+泳池Party*2+赞美鸡*7</t>
    </r>
  </si>
  <si>
    <r>
      <rPr>
        <rFont val="等线"/>
        <sz val="10"/>
      </rPr>
      <t xml:space="preserve">爱得爆炸*2+</t>
    </r>
    <r>
      <rPr>
        <color rgb="FFEA3324"/>
        <rFont val="等线"/>
        <sz val="10"/>
      </rPr>
      <t xml:space="preserve">结婚*1</t>
    </r>
  </si>
  <si>
    <t>爱得爆炸*4+结婚*3+炫酷跑车*1+赞美鸡*7</t>
  </si>
  <si>
    <t>霸王龙仔（88.8元*5）</t>
  </si>
  <si>
    <t>5连，≥200000飘红</t>
  </si>
  <si>
    <r>
      <rPr>
        <rFont val="等线"/>
        <sz val="10"/>
      </rPr>
      <t xml:space="preserve">炫酷跑车*1+赞美鸡*3+</t>
    </r>
    <r>
      <rPr>
        <color rgb="FFEA3324"/>
        <rFont val="等线"/>
        <sz val="10"/>
      </rPr>
      <t xml:space="preserve">蛋壳*1</t>
    </r>
  </si>
  <si>
    <r>
      <rPr>
        <rFont val="等线"/>
        <sz val="10"/>
      </rPr>
      <t xml:space="preserve">炫酷跑车*2+泳池Party*1+赞美鸡*3+</t>
    </r>
    <r>
      <rPr>
        <color rgb="FFEA3324"/>
        <rFont val="等线"/>
        <sz val="10"/>
      </rPr>
      <t xml:space="preserve">蛋壳*4</t>
    </r>
  </si>
  <si>
    <r>
      <rPr>
        <color rgb="FFEA3324"/>
        <rFont val="等线"/>
        <sz val="10"/>
      </rPr>
      <t xml:space="preserve">结婚*1</t>
    </r>
    <r>
      <rPr>
        <color rgb="FF000000"/>
        <rFont val="等线"/>
        <sz val="10"/>
      </rPr>
      <t xml:space="preserve">+泳池Party*1+赞美鸡*4+</t>
    </r>
    <r>
      <rPr>
        <color rgb="FFFE0300"/>
        <rFont val="等线"/>
        <sz val="10"/>
      </rPr>
      <t xml:space="preserve">蛋壳*8</t>
    </r>
  </si>
  <si>
    <r>
      <rPr>
        <color rgb="FFEA3324"/>
        <rFont val="等线"/>
        <sz val="10"/>
      </rPr>
      <t xml:space="preserve">结婚*1</t>
    </r>
    <r>
      <rPr>
        <color rgb="FF000000"/>
        <rFont val="等线"/>
        <sz val="10"/>
      </rPr>
      <t xml:space="preserve">+炫酷跑车*3+赞美鸡*6+</t>
    </r>
    <r>
      <rPr>
        <color rgb="FFFE0300"/>
        <rFont val="等线"/>
        <sz val="10"/>
      </rPr>
      <t xml:space="preserve">蛋壳*8</t>
    </r>
  </si>
  <si>
    <t>爱得爆炸*1+赞美鸡*8</t>
  </si>
  <si>
    <t>结婚*10</t>
  </si>
  <si>
    <r>
      <rPr>
        <rFont val="等线"/>
        <sz val="10"/>
      </rPr>
      <t xml:space="preserve">爱得爆炸*5+</t>
    </r>
    <r>
      <rPr>
        <color rgb="FFFE0300"/>
        <rFont val="等线"/>
        <sz val="10"/>
      </rPr>
      <t xml:space="preserve">结婚*5</t>
    </r>
    <r>
      <rPr>
        <rFont val="等线"/>
        <sz val="10"/>
      </rPr>
      <t xml:space="preserve">+炫酷跑车*1+赞美鸡*1+</t>
    </r>
    <r>
      <rPr>
        <color rgb="FFFE0300"/>
        <rFont val="等线"/>
        <sz val="10"/>
      </rPr>
      <t xml:space="preserve">蛋壳*8</t>
    </r>
  </si>
  <si>
    <r>
      <rPr>
        <rFont val="等线"/>
        <sz val="10"/>
      </rPr>
      <t xml:space="preserve">爱得爆炸*6+</t>
    </r>
    <r>
      <rPr>
        <color rgb="FFFE0300"/>
        <rFont val="等线"/>
        <sz val="10"/>
      </rPr>
      <t xml:space="preserve">结婚*5</t>
    </r>
  </si>
  <si>
    <t>10连,≥200000飘红</t>
  </si>
  <si>
    <r>
      <rPr>
        <color rgb="FFEA3324"/>
        <rFont val="等线"/>
        <sz val="10"/>
      </rPr>
      <t xml:space="preserve">结婚*1</t>
    </r>
    <r>
      <rPr>
        <color rgb="FF000000"/>
        <rFont val="等线"/>
        <sz val="10"/>
      </rPr>
      <t xml:space="preserve">+泳池Party*1+赞美鸡*4+</t>
    </r>
    <r>
      <rPr>
        <color rgb="FFFE0300"/>
        <rFont val="等线"/>
        <sz val="10"/>
      </rPr>
      <t xml:space="preserve">蛋壳*6</t>
    </r>
  </si>
  <si>
    <r>
      <rPr>
        <rFont val="等线"/>
        <sz val="10"/>
      </rPr>
      <t xml:space="preserve">爱得爆炸*4+</t>
    </r>
    <r>
      <rPr>
        <color rgb="FFFE0300"/>
        <rFont val="等线"/>
        <sz val="10"/>
      </rPr>
      <t xml:space="preserve">结婚*4</t>
    </r>
    <r>
      <rPr>
        <rFont val="等线"/>
        <sz val="10"/>
      </rPr>
      <t xml:space="preserve">+炫酷跑车*3+赞美鸡*8+</t>
    </r>
    <r>
      <rPr>
        <color rgb="FFFE0300"/>
        <rFont val="等线"/>
        <sz val="10"/>
      </rPr>
      <t xml:space="preserve">蛋壳*4</t>
    </r>
  </si>
  <si>
    <r>
      <rPr>
        <rFont val="等线"/>
        <sz val="10"/>
      </rPr>
      <t xml:space="preserve">爱得爆炸*7+</t>
    </r>
    <r>
      <rPr>
        <color rgb="FFFE0300"/>
        <rFont val="等线"/>
        <sz val="10"/>
      </rPr>
      <t xml:space="preserve">结婚*2</t>
    </r>
    <r>
      <rPr>
        <rFont val="等线"/>
        <sz val="10"/>
      </rPr>
      <t xml:space="preserve">+炫酷跑车*2+泳池Party*2+赞美鸡*5+</t>
    </r>
    <r>
      <rPr>
        <color rgb="FFFE0300"/>
        <rFont val="等线"/>
        <sz val="10"/>
      </rPr>
      <t xml:space="preserve">蛋壳*4</t>
    </r>
  </si>
  <si>
    <r>
      <rPr>
        <rFont val="等线"/>
        <sz val="10"/>
      </rPr>
      <t xml:space="preserve">爱得爆炸*10+</t>
    </r>
    <r>
      <rPr>
        <color rgb="FFFE0300"/>
        <rFont val="等线"/>
        <sz val="10"/>
      </rPr>
      <t xml:space="preserve">结婚*5</t>
    </r>
    <r>
      <rPr>
        <rFont val="等线"/>
        <sz val="10"/>
      </rPr>
      <t xml:space="preserve">+赞美鸡*6</t>
    </r>
  </si>
  <si>
    <r>
      <rPr>
        <rFont val="等线"/>
        <sz val="10"/>
      </rPr>
      <t xml:space="preserve">爱得爆炸*12+</t>
    </r>
    <r>
      <rPr>
        <color rgb="FFFE0300"/>
        <rFont val="等线"/>
        <sz val="10"/>
      </rPr>
      <t xml:space="preserve">结婚*10</t>
    </r>
  </si>
  <si>
    <t>套圈（5元）</t>
  </si>
  <si>
    <t>巧克力*1</t>
  </si>
  <si>
    <t>大金表*1</t>
  </si>
  <si>
    <t>环保帽*1</t>
  </si>
  <si>
    <t>火箭*1</t>
  </si>
  <si>
    <t>盛花梦狐*1</t>
  </si>
  <si>
    <t>新春锦囊（50元）</t>
  </si>
  <si>
    <t>1连/2连/5连/10连/50连</t>
  </si>
  <si>
    <t>金钱蟒*1</t>
  </si>
  <si>
    <t>金蛇迎春*1</t>
  </si>
  <si>
    <t>小醒狮*1</t>
  </si>
  <si>
    <t>恭贺新春*1</t>
  </si>
  <si>
    <t>金蛇贺岁*1</t>
  </si>
  <si>
    <t>醒狮贺岁*1</t>
  </si>
  <si>
    <t>画蛇添福*1</t>
  </si>
  <si>
    <t>百万富翁*7天</t>
  </si>
  <si>
    <t>年年岁岁*1</t>
  </si>
  <si>
    <t>飘红规则：≥80000飘红</t>
  </si>
  <si>
    <t>飘红规则：≥100000飘红</t>
  </si>
  <si>
    <t>飘红规则：≥200000飘红</t>
  </si>
  <si>
    <t>50连</t>
  </si>
  <si>
    <t>金蛇蛋（50元）（蛋壳0.1%）</t>
  </si>
  <si>
    <t>小海西*1</t>
  </si>
  <si>
    <t>梦幻之旅*1</t>
  </si>
  <si>
    <t>白马花车*1</t>
  </si>
  <si>
    <t>牵丝戏*1</t>
  </si>
  <si>
    <t>山河图*1</t>
  </si>
  <si>
    <t>天火神凰*2</t>
  </si>
  <si>
    <t>银蛇蛋（20元）（蛋壳0.1%）</t>
  </si>
  <si>
    <t>水果捞*1</t>
  </si>
  <si>
    <t>乘风破浪*1</t>
  </si>
  <si>
    <t>摩天轮之恋*1</t>
  </si>
  <si>
    <t>逐鹿平原*1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</si>
</sst>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name val="Microsoft YaHei"/>
    </font>
    <font>
      <sz val="10"/>
      <name val="等线"/>
    </font>
    <font>
      <sz val="10"/>
      <color rgb="FF000000"/>
      <name val="等线"/>
    </font>
    <font>
      <sz val="10"/>
      <color rgb="FFFE0300"/>
      <name val="Microsoft YaHei"/>
    </font>
    <font>
      <strike/>
      <sz val="10"/>
      <name val="等线"/>
    </font>
    <font>
      <strike/>
      <sz val="10"/>
    </font>
    <font>
      <sz val="10"/>
      <color rgb="FF000000"/>
      <name val="Microsoft YaHei"/>
    </font>
    <font>
      <strike/>
      <sz val="10"/>
      <name val="Microsoft YaHei"/>
    </font>
    <font>
      <sz val="10"/>
      <color rgb="FFEA3324"/>
      <name val="等线"/>
    </font>
    <font>
      <sz val="10"/>
      <color rgb="FFFE0300"/>
      <name val="等线"/>
    </font>
    <font>
      <sz val="10"/>
      <color rgb="FFEA3324"/>
      <name val="Microsoft YaHei"/>
    </font>
    <font>
      <sz val="10"/>
      <color rgb="FFEA3324"/>
    </font>
  </fonts>
  <fills count="10">
    <fill>
      <patternFill patternType="none"/>
    </fill>
    <fill>
      <patternFill patternType="gray125"/>
    </fill>
    <fill>
      <patternFill patternType="solid">
        <fgColor rgb="FFCFC7F4"/>
      </patternFill>
    </fill>
    <fill>
      <patternFill patternType="solid">
        <fgColor rgb="FFDFF8FF"/>
      </patternFill>
    </fill>
    <fill>
      <patternFill patternType="solid">
        <fgColor rgb="FFF2C150"/>
      </patternFill>
    </fill>
    <fill>
      <patternFill patternType="solid">
        <fgColor rgb="FF8CDDFA"/>
      </patternFill>
    </fill>
    <fill>
      <patternFill patternType="solid">
        <fgColor rgb="FFFFF2CC"/>
      </patternFill>
    </fill>
    <fill>
      <patternFill patternType="solid">
        <fgColor rgb="FFFEE598"/>
      </patternFill>
    </fill>
    <fill>
      <patternFill patternType="solid">
        <fgColor rgb="FFFEFF00"/>
      </patternFill>
    </fill>
    <fill>
      <patternFill patternType="solid">
        <fgColor rgb="FFE8E6E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3" fontId="4" fillId="0" borderId="0" xfId="0" applyNumberFormat="1" applyFont="1">
      <alignment horizontal="center" vertical="center"/>
    </xf>
    <xf numFmtId="3" fontId="5" fillId="0" borderId="1" xfId="0" applyNumberFormat="1" applyFont="1" applyBorder="1" applyProtection="1">
      <alignment horizontal="center" vertical="center"/>
    </xf>
    <xf numFmtId="3" fontId="5" fillId="2" borderId="1" xfId="0" applyNumberFormat="1" applyFont="1" applyFill="1" applyBorder="1" applyProtection="1">
      <alignment horizontal="center" vertical="center"/>
    </xf>
    <xf numFmtId="3" fontId="6" fillId="3" borderId="1" xfId="0" applyNumberFormat="1" applyFont="1" applyFill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4" fillId="0" borderId="1" xfId="0" applyFont="1" applyBorder="1" applyProtection="1">
      <alignment horizontal="center" vertical="center"/>
    </xf>
    <xf numFmtId="3" fontId="4" fillId="0" borderId="1" xfId="0" applyNumberFormat="1" applyFont="1" applyBorder="1" applyProtection="1">
      <alignment horizontal="center" vertical="center"/>
    </xf>
    <xf numFmtId="10" fontId="4" fillId="0" borderId="1" xfId="0" applyNumberFormat="1" applyFont="1" applyBorder="1" applyProtection="1">
      <alignment horizontal="center" vertical="center"/>
    </xf>
    <xf numFmtId="3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0" fontId="6" fillId="0" borderId="1" xfId="0" applyFont="1" applyBorder="1" applyProtection="1">
      <alignment horizontal="center" vertical="center"/>
    </xf>
    <xf numFmtId="3" fontId="4" fillId="4" borderId="0" xfId="0" applyNumberFormat="1" applyFont="1" applyFill="1">
      <alignment vertical="center"/>
    </xf>
    <xf numFmtId="0" fontId="5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9" fontId="5" fillId="0" borderId="1" xfId="0" applyNumberFormat="1" applyFont="1" applyBorder="1" applyProtection="1">
      <alignment horizontal="center" vertical="center"/>
    </xf>
    <xf numFmtId="0" fontId="5" fillId="5" borderId="1" xfId="0" applyFont="1" applyFill="1" applyBorder="1" applyProtection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6" fillId="6" borderId="1" xfId="0" applyFont="1" applyFill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/>
    </xf>
    <xf numFmtId="0" fontId="6" fillId="3" borderId="1" xfId="0" applyFont="1" applyFill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5" borderId="1" xfId="0" applyFont="1" applyFill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9" fillId="0" borderId="4" xfId="0" applyFont="1" applyBorder="1" applyProtection="1">
      <alignment horizontal="center" vertical="center"/>
    </xf>
    <xf numFmtId="0" fontId="6" fillId="0" borderId="4" xfId="0" applyFont="1" applyBorder="1" applyProtection="1">
      <alignment horizontal="center" vertical="center"/>
    </xf>
    <xf numFmtId="3" fontId="6" fillId="3" borderId="1" xfId="0" applyNumberFormat="1" applyFont="1" applyFill="1" applyBorder="1" applyProtection="1">
      <alignment horizontal="center" vertical="center"/>
    </xf>
    <xf numFmtId="10" fontId="4" fillId="0" borderId="0" xfId="0" applyNumberFormat="1" applyFont="1">
      <alignment vertical="center"/>
    </xf>
    <xf numFmtId="0" fontId="10" fillId="0" borderId="2" xfId="0" applyFont="1" applyBorder="1" applyProtection="1">
      <alignment vertical="center"/>
    </xf>
    <xf numFmtId="0" fontId="4" fillId="0" borderId="0" xfId="0" applyFont="1">
      <alignment horizontal="left" vertical="center"/>
    </xf>
    <xf numFmtId="0" fontId="4" fillId="4" borderId="0" xfId="0" applyFont="1" applyFill="1">
      <alignment horizontal="center" vertical="center"/>
    </xf>
    <xf numFmtId="0" fontId="11" fillId="5" borderId="1" xfId="0" applyFont="1" applyFill="1" applyBorder="1" applyProtection="1">
      <alignment horizontal="center" vertical="center"/>
    </xf>
    <xf numFmtId="0" fontId="10" fillId="0" borderId="3" xfId="0" applyFont="1" applyBorder="1" applyProtection="1">
      <alignment vertical="center"/>
    </xf>
    <xf numFmtId="0" fontId="10" fillId="0" borderId="0" xfId="0" applyFont="1">
      <alignment horizontal="center" vertical="center"/>
    </xf>
    <xf numFmtId="0" fontId="6" fillId="7" borderId="4" xfId="0" applyFont="1" applyFill="1" applyBorder="1" applyProtection="1">
      <alignment horizontal="center" vertical="center"/>
    </xf>
    <xf numFmtId="0" fontId="4" fillId="7" borderId="3" xfId="0" applyFont="1" applyFill="1" applyBorder="1" applyProtection="1">
      <alignment vertical="center"/>
    </xf>
    <xf numFmtId="10" fontId="6" fillId="7" borderId="1" xfId="0" applyNumberFormat="1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10" fontId="4" fillId="0" borderId="0" xfId="0" applyNumberFormat="1" applyFont="1">
      <alignment horizontal="center" vertical="center"/>
    </xf>
    <xf numFmtId="0" fontId="12" fillId="2" borderId="1" xfId="0" applyFont="1" applyFill="1" applyBorder="1" applyProtection="1">
      <alignment horizontal="center" vertical="center"/>
    </xf>
    <xf numFmtId="3" fontId="4" fillId="4" borderId="0" xfId="0" applyNumberFormat="1" applyFont="1" applyFill="1">
      <alignment horizontal="center" vertical="center"/>
    </xf>
    <xf numFmtId="0" fontId="12" fillId="5" borderId="1" xfId="0" applyFont="1" applyFill="1" applyBorder="1" applyProtection="1">
      <alignment horizontal="center" vertical="center"/>
    </xf>
    <xf numFmtId="3" fontId="12" fillId="0" borderId="1" xfId="0" applyNumberFormat="1" applyFont="1" applyBorder="1" applyProtection="1">
      <alignment horizontal="center" vertical="center"/>
    </xf>
    <xf numFmtId="9" fontId="12" fillId="0" borderId="1" xfId="0" applyNumberFormat="1" applyFont="1" applyBorder="1" applyProtection="1">
      <alignment horizontal="center" vertical="center"/>
    </xf>
    <xf numFmtId="3" fontId="12" fillId="2" borderId="1" xfId="0" applyNumberFormat="1" applyFont="1" applyFill="1" applyBorder="1" applyProtection="1">
      <alignment horizontal="center" vertical="center"/>
    </xf>
    <xf numFmtId="0" fontId="12" fillId="4" borderId="1" xfId="0" applyFont="1" applyFill="1" applyBorder="1" applyProtection="1">
      <alignment horizontal="center" vertical="center"/>
    </xf>
    <xf numFmtId="0" fontId="5" fillId="8" borderId="1" xfId="0" applyFont="1" applyFill="1" applyBorder="1" applyProtection="1">
      <alignment horizontal="center" vertical="center"/>
    </xf>
    <xf numFmtId="3" fontId="10" fillId="0" borderId="1" xfId="0" applyNumberFormat="1" applyFont="1" applyBorder="1" applyProtection="1">
      <alignment horizontal="center" vertical="center"/>
    </xf>
    <xf numFmtId="10" fontId="10" fillId="0" borderId="1" xfId="0" applyNumberFormat="1" applyFont="1" applyBorder="1" applyProtection="1">
      <alignment horizontal="center" vertical="center"/>
    </xf>
    <xf numFmtId="3" fontId="10" fillId="0" borderId="0" xfId="0" applyNumberFormat="1" applyFont="1">
      <alignment vertical="center"/>
    </xf>
    <xf numFmtId="0" fontId="9" fillId="0" borderId="1" xfId="0" applyFont="1" applyBorder="1" applyProtection="1">
      <alignment horizontal="center" vertical="center" wrapText="1"/>
    </xf>
    <xf numFmtId="0" fontId="9" fillId="6" borderId="1" xfId="0" applyFont="1" applyFill="1" applyBorder="1" applyProtection="1">
      <alignment horizontal="center" vertical="center"/>
    </xf>
    <xf numFmtId="0" fontId="12" fillId="6" borderId="1" xfId="0" applyFont="1" applyFill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3" fontId="9" fillId="3" borderId="1" xfId="0" applyNumberFormat="1" applyFont="1" applyFill="1" applyBorder="1" applyProtection="1">
      <alignment horizontal="center" vertical="center"/>
    </xf>
    <xf numFmtId="0" fontId="9" fillId="7" borderId="4" xfId="0" applyFont="1" applyFill="1" applyBorder="1" applyProtection="1">
      <alignment horizontal="center" vertical="center"/>
    </xf>
    <xf numFmtId="0" fontId="10" fillId="7" borderId="3" xfId="0" applyFont="1" applyFill="1" applyBorder="1" applyProtection="1">
      <alignment vertical="center"/>
    </xf>
    <xf numFmtId="10" fontId="9" fillId="7" borderId="1" xfId="0" applyNumberFormat="1" applyFont="1" applyFill="1" applyBorder="1" applyProtection="1">
      <alignment horizontal="center" vertical="center"/>
    </xf>
    <xf numFmtId="0" fontId="10" fillId="0" borderId="0" xfId="0" applyFont="1">
      <alignment horizontal="left" vertical="center"/>
    </xf>
    <xf numFmtId="0" fontId="13" fillId="0" borderId="1" xfId="0" applyFont="1" applyBorder="1" applyProtection="1">
      <alignment horizontal="center" vertical="center"/>
    </xf>
    <xf numFmtId="0" fontId="14" fillId="0" borderId="1" xfId="0" applyFont="1" applyBorder="1" applyProtection="1">
      <alignment horizontal="center" vertical="center"/>
    </xf>
    <xf numFmtId="3" fontId="5" fillId="8" borderId="1" xfId="0" applyNumberFormat="1" applyFont="1" applyFill="1" applyBorder="1" applyProtection="1">
      <alignment horizontal="center" vertical="center"/>
    </xf>
    <xf numFmtId="3" fontId="12" fillId="9" borderId="1" xfId="0" applyNumberFormat="1" applyFont="1" applyFill="1" applyBorder="1" applyProtection="1">
      <alignment horizontal="center" vertical="center"/>
    </xf>
    <xf numFmtId="9" fontId="12" fillId="9" borderId="1" xfId="0" applyNumberFormat="1" applyFont="1" applyFill="1" applyBorder="1" applyProtection="1">
      <alignment horizontal="center" vertical="center"/>
    </xf>
    <xf numFmtId="0" fontId="12" fillId="9" borderId="1" xfId="0" applyFont="1" applyFill="1" applyBorder="1" applyProtection="1">
      <alignment horizontal="center" vertical="center"/>
    </xf>
    <xf numFmtId="3" fontId="10" fillId="9" borderId="1" xfId="0" applyNumberFormat="1" applyFont="1" applyFill="1" applyBorder="1" applyProtection="1">
      <alignment horizontal="center" vertical="center"/>
    </xf>
    <xf numFmtId="10" fontId="10" fillId="9" borderId="1" xfId="0" applyNumberFormat="1" applyFont="1" applyFill="1" applyBorder="1" applyProtection="1">
      <alignment horizontal="center" vertical="center"/>
    </xf>
    <xf numFmtId="0" fontId="9" fillId="9" borderId="1" xfId="0" applyFont="1" applyFill="1" applyBorder="1" applyProtection="1">
      <alignment horizontal="center" vertical="center"/>
    </xf>
    <xf numFmtId="0" fontId="15" fillId="5" borderId="1" xfId="0" applyFont="1" applyFill="1" applyBorder="1" applyProtection="1">
      <alignment horizontal="center" vertical="center"/>
    </xf>
    <xf numFmtId="0" fontId="6" fillId="4" borderId="4" xfId="0" applyFont="1" applyFill="1" applyBorder="1" applyProtection="1">
      <alignment horizontal="center" vertical="center"/>
    </xf>
    <xf numFmtId="0" fontId="16" fillId="0" borderId="0" xfId="0" applyFont="1">
      <alignment horizontal="center" vertical="center"/>
    </xf>
    <xf numFmtId="0" fontId="4" fillId="4" borderId="2" xfId="0" applyFont="1" applyFill="1" applyBorder="1" applyProtection="1">
      <alignment vertical="center"/>
    </xf>
    <xf numFmtId="3" fontId="16" fillId="0" borderId="0" xfId="0" applyNumberFormat="1" applyFont="1">
      <alignment horizontal="center" vertical="center"/>
    </xf>
    <xf numFmtId="0" fontId="4" fillId="4" borderId="3" xfId="0" applyFont="1" applyFill="1" applyBorder="1" applyProtection="1">
      <alignment vertical="center"/>
    </xf>
    <xf numFmtId="0" fontId="5" fillId="4" borderId="1" xfId="0" applyFont="1" applyFill="1" applyBorder="1" applyProtection="1">
      <alignment horizontal="center" vertical="center"/>
    </xf>
    <xf numFmtId="0" fontId="15" fillId="4" borderId="1" xfId="0" applyFont="1" applyFill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3" Type="http://schemas.openxmlformats.org/officeDocument/2006/relationships/theme" Target="theme/theme1.xml"/><Relationship Id="rId7" Type="http://schemas.openxmlformats.org/officeDocument/2006/relationships/worksheet" Target="worksheets/sheet7.xml"/><Relationship Id="rId21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18" Type="http://schemas.openxmlformats.org/officeDocument/2006/relationships/worksheet" Target="worksheets/sheet18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9" Type="http://schemas.openxmlformats.org/officeDocument/2006/relationships/worksheet" Target="worksheets/sheet19.xml"/><Relationship Id="rId22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6.857421875" customWidth="1"/>
    <col min="8" max="8" width="16.0693359375" customWidth="1"/>
  </cols>
  <sheetData>
    <row r="1" ht="16.5" customHeight="1">
      <c r="A1" s="30" t="s">
        <v>0</v>
      </c>
      <c r="B1" s="27"/>
      <c r="C1" s="27"/>
      <c r="D1" s="27"/>
      <c r="E1" s="27"/>
      <c r="F1" s="27"/>
      <c r="G1" s="27"/>
      <c r="H1" s="28"/>
    </row>
    <row r="2" ht="16.5" customHeight="1">
      <c r="A2" s="15" t="s">
        <v>1</v>
      </c>
      <c r="B2" s="10"/>
      <c r="C2" s="10"/>
      <c r="D2" s="10"/>
      <c r="E2" s="10"/>
      <c r="F2" s="10"/>
      <c r="G2" s="10"/>
      <c r="H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76" t="n">
        <v>414</v>
      </c>
      <c r="E4" s="6" t="n">
        <f>A4*D4</f>
        <v>414000</v>
      </c>
      <c r="F4" s="11" t="n">
        <f>C4*D4</f>
        <v>276000</v>
      </c>
      <c r="G4" s="12" t="n">
        <f>D4/$B$13</f>
        <v>0.259723964868256</v>
      </c>
      <c r="H4" s="15" t="s">
        <v>13</v>
      </c>
      <c r="I4" s="13"/>
      <c r="J4" s="13"/>
      <c r="K4" s="13" t="n">
        <v>1</v>
      </c>
      <c r="L4" s="13" t="n">
        <f>K4*D4</f>
        <v>414</v>
      </c>
    </row>
    <row r="5" ht="16.5" customHeight="1">
      <c r="A5" s="6" t="n">
        <v>2000</v>
      </c>
      <c r="B5" s="19" t="n">
        <v>0.4</v>
      </c>
      <c r="C5" s="7" t="n">
        <f>A5*B5/0.6</f>
        <v>1333.33333333333</v>
      </c>
      <c r="D5" s="20" t="n">
        <v>369</v>
      </c>
      <c r="E5" s="6" t="n">
        <f>A5*D5</f>
        <v>738000</v>
      </c>
      <c r="F5" s="11" t="n">
        <f>C5*D5</f>
        <v>491999.999999999</v>
      </c>
      <c r="G5" s="12" t="n">
        <f>D5/$B$13</f>
        <v>0.231493099121706</v>
      </c>
      <c r="H5" s="15" t="s">
        <v>14</v>
      </c>
      <c r="I5" s="13"/>
      <c r="J5" s="13"/>
      <c r="K5" s="13" t="n">
        <v>1</v>
      </c>
      <c r="L5" s="13" t="n">
        <f>K5*D5</f>
        <v>369</v>
      </c>
    </row>
    <row r="6" ht="16.5" customHeight="1">
      <c r="A6" s="6" t="n">
        <v>5000</v>
      </c>
      <c r="B6" s="19" t="n">
        <v>0.4</v>
      </c>
      <c r="C6" s="7" t="n">
        <f>A6*B6/0.6</f>
        <v>3333.33333333333</v>
      </c>
      <c r="D6" s="20" t="n">
        <v>600</v>
      </c>
      <c r="E6" s="6" t="n">
        <f>A6*D6</f>
        <v>3000000</v>
      </c>
      <c r="F6" s="11" t="n">
        <f>C6*D6</f>
        <v>2000000</v>
      </c>
      <c r="G6" s="12" t="n">
        <f>D6/$B$13</f>
        <v>0.376411543287327</v>
      </c>
      <c r="H6" s="15" t="s">
        <v>15</v>
      </c>
      <c r="I6" s="13"/>
      <c r="J6" s="13"/>
      <c r="K6" s="13" t="n">
        <f>A6/5000</f>
        <v>1</v>
      </c>
      <c r="L6" s="13" t="n">
        <f>K6*D6</f>
        <v>600</v>
      </c>
    </row>
    <row r="7" ht="16.5" customHeight="1">
      <c r="A7" s="6" t="n">
        <v>20000</v>
      </c>
      <c r="B7" s="19" t="n">
        <v>0.4</v>
      </c>
      <c r="C7" s="7" t="n">
        <f>A7*B7/0.6</f>
        <v>13333.3333333333</v>
      </c>
      <c r="D7" s="20" t="n">
        <v>150</v>
      </c>
      <c r="E7" s="6" t="n">
        <f>A7*D7</f>
        <v>3000000</v>
      </c>
      <c r="F7" s="11" t="n">
        <f>C7*D7</f>
        <v>1999999.99999999</v>
      </c>
      <c r="G7" s="12" t="n">
        <f>D7/$B$13</f>
        <v>0.0941028858218319</v>
      </c>
      <c r="H7" s="15" t="s">
        <v>16</v>
      </c>
      <c r="I7" s="13"/>
      <c r="J7" s="13"/>
      <c r="K7" s="13" t="n">
        <f>A7/5000</f>
        <v>4</v>
      </c>
      <c r="L7" s="13" t="n">
        <f>K7*D7</f>
        <v>600</v>
      </c>
    </row>
    <row r="8" ht="16.5" customHeight="1">
      <c r="A8" s="6" t="n">
        <v>52000</v>
      </c>
      <c r="B8" s="19" t="n">
        <v>0.4</v>
      </c>
      <c r="C8" s="7" t="n">
        <f>A8*B8/0.6</f>
        <v>34666.6666666667</v>
      </c>
      <c r="D8" s="76" t="n">
        <v>54</v>
      </c>
      <c r="E8" s="6" t="n">
        <f>A8*D8</f>
        <v>2808000</v>
      </c>
      <c r="F8" s="11" t="n">
        <f>C8*D8</f>
        <v>1872000</v>
      </c>
      <c r="G8" s="12" t="n">
        <f>D8/$B$13</f>
        <v>0.0338770388958595</v>
      </c>
      <c r="H8" s="15" t="s">
        <v>17</v>
      </c>
      <c r="I8" s="13"/>
      <c r="J8" s="13"/>
      <c r="K8" s="13" t="n">
        <f>A8/5000</f>
        <v>10.4</v>
      </c>
      <c r="L8" s="13" t="n">
        <f>K8*D8</f>
        <v>561.6</v>
      </c>
    </row>
    <row r="9" ht="16.5" customHeight="1">
      <c r="A9" s="6" t="n">
        <v>80000</v>
      </c>
      <c r="B9" s="19" t="n">
        <v>0.4</v>
      </c>
      <c r="C9" s="7" t="n">
        <f>A9*B9/0.6</f>
        <v>53333.3333333333</v>
      </c>
      <c r="D9" s="76" t="n">
        <v>5</v>
      </c>
      <c r="E9" s="6" t="n">
        <f>A9*D9</f>
        <v>400000</v>
      </c>
      <c r="F9" s="11" t="n">
        <f>C9*D9</f>
        <v>266666.666666667</v>
      </c>
      <c r="G9" s="12" t="n">
        <f>D9/$B$13</f>
        <v>0.00313676286072773</v>
      </c>
      <c r="H9" s="21" t="s">
        <v>18</v>
      </c>
      <c r="I9" s="13"/>
      <c r="J9" s="13"/>
      <c r="K9" s="13" t="n">
        <f>A9/5000</f>
        <v>16</v>
      </c>
      <c r="L9" s="13" t="n">
        <f>K9*D9</f>
        <v>80</v>
      </c>
    </row>
    <row r="10" ht="16.5" customHeight="1">
      <c r="A10" s="6" t="n">
        <v>100000</v>
      </c>
      <c r="B10" s="19" t="n">
        <v>0.4</v>
      </c>
      <c r="C10" s="7" t="n">
        <f>A10*B10/0.6</f>
        <v>66666.6666666667</v>
      </c>
      <c r="D10" s="20" t="n">
        <v>0</v>
      </c>
      <c r="E10" s="6" t="n">
        <f>A10*D10</f>
        <v>0</v>
      </c>
      <c r="F10" s="11" t="n">
        <f>C10*D10</f>
        <v>0</v>
      </c>
      <c r="G10" s="12" t="n">
        <f>D10/$B$13</f>
        <v>0</v>
      </c>
      <c r="H10" s="15" t="s">
        <v>19</v>
      </c>
      <c r="I10" s="13"/>
      <c r="J10" s="13"/>
      <c r="K10" s="13" t="n">
        <f>A10/5000</f>
        <v>20</v>
      </c>
      <c r="L10" s="13" t="n">
        <f>K10*D10</f>
        <v>0</v>
      </c>
    </row>
    <row r="11" ht="16.5" customHeight="1">
      <c r="A11" s="6" t="n">
        <v>200000</v>
      </c>
      <c r="B11" s="19" t="n">
        <v>0.4</v>
      </c>
      <c r="C11" s="7" t="n">
        <f>A11*B11/0.6</f>
        <v>133333.333333333</v>
      </c>
      <c r="D11" s="76" t="n">
        <v>2</v>
      </c>
      <c r="E11" s="6" t="n">
        <f>A11*D11</f>
        <v>400000</v>
      </c>
      <c r="F11" s="11" t="n">
        <f>C11*D11</f>
        <v>266666.666666666</v>
      </c>
      <c r="G11" s="12" t="n">
        <f>D11/$B$13</f>
        <v>0.00125470514429109</v>
      </c>
      <c r="H11" s="15" t="s">
        <v>20</v>
      </c>
      <c r="I11" s="13"/>
      <c r="J11" s="13"/>
      <c r="K11" s="13" t="n">
        <f>A11/5000</f>
        <v>40</v>
      </c>
      <c r="L11" s="13" t="n">
        <f>K11*D11</f>
        <v>80</v>
      </c>
      <c r="M11" s="46"/>
    </row>
    <row r="12" ht="16.5" customHeight="1">
      <c r="A12" s="17"/>
      <c r="B12" s="17"/>
      <c r="C12" s="17"/>
      <c r="D12" s="17"/>
      <c r="E12" s="17"/>
      <c r="F12" s="17"/>
      <c r="G12" s="17"/>
      <c r="H12" s="17"/>
    </row>
    <row r="13" ht="16.5" customHeight="1">
      <c r="A13" s="22" t="s">
        <v>21</v>
      </c>
      <c r="B13" s="23" t="n">
        <f>SUM(D4:D11)</f>
        <v>1594</v>
      </c>
      <c r="C13" s="24" t="s">
        <v>22</v>
      </c>
      <c r="D13" s="10"/>
      <c r="E13" s="31" t="n">
        <f>SUM(E4:E11)</f>
        <v>10760000</v>
      </c>
      <c r="F13" s="39" t="s">
        <v>23</v>
      </c>
      <c r="G13" s="40"/>
      <c r="H13" s="41" t="n">
        <f>E13/E15</f>
        <v>1.35006273525721</v>
      </c>
    </row>
    <row r="14" ht="16.5" customHeight="1">
      <c r="A14" s="22" t="s">
        <v>24</v>
      </c>
      <c r="B14" s="22" t="n">
        <v>5000</v>
      </c>
      <c r="C14" s="24" t="s">
        <v>25</v>
      </c>
      <c r="D14" s="10"/>
      <c r="E14" s="31" t="n">
        <f>SUM(F4:F11)</f>
        <v>7173333.33333332</v>
      </c>
      <c r="F14" s="39" t="s">
        <v>26</v>
      </c>
      <c r="G14" s="40"/>
      <c r="H14" s="41" t="n">
        <f>E14/E15</f>
        <v>0.900041823504808</v>
      </c>
    </row>
    <row r="15" ht="16.5" customHeight="1">
      <c r="A15" s="15"/>
      <c r="B15" s="15"/>
      <c r="C15" s="24" t="s">
        <v>27</v>
      </c>
      <c r="D15" s="10"/>
      <c r="E15" s="8" t="n">
        <f>B13*B14</f>
        <v>7970000</v>
      </c>
      <c r="F15" s="39" t="s">
        <v>28</v>
      </c>
      <c r="G15" s="40"/>
      <c r="H15" s="41" t="n">
        <f>E15/E14</f>
        <v>1.11105947955391</v>
      </c>
    </row>
    <row r="18" ht="16.5" customHeight="1">
      <c r="A18" s="77" t="s">
        <v>0</v>
      </c>
      <c r="B18" s="79"/>
      <c r="C18" s="79"/>
      <c r="D18" s="79"/>
      <c r="E18" s="79"/>
      <c r="F18" s="79"/>
      <c r="G18" s="79"/>
      <c r="H18" s="81"/>
    </row>
    <row r="19" ht="16.5" customHeight="1">
      <c r="A19" s="15" t="s">
        <v>1</v>
      </c>
      <c r="B19" s="10"/>
      <c r="C19" s="10"/>
      <c r="D19" s="10"/>
      <c r="E19" s="10"/>
      <c r="F19" s="10"/>
      <c r="G19" s="10"/>
      <c r="H19" s="10"/>
    </row>
    <row r="20" ht="16.5" customHeight="1">
      <c r="A20" s="17" t="s">
        <v>2</v>
      </c>
      <c r="B20" s="15" t="s">
        <v>3</v>
      </c>
      <c r="C20" s="18" t="s">
        <v>4</v>
      </c>
      <c r="D20" s="20" t="s">
        <v>5</v>
      </c>
      <c r="E20" s="17" t="s">
        <v>6</v>
      </c>
      <c r="F20" s="15" t="s">
        <v>7</v>
      </c>
      <c r="G20" s="15" t="s">
        <v>8</v>
      </c>
      <c r="H20" s="17" t="s">
        <v>9</v>
      </c>
      <c r="I20" s="9" t="s">
        <v>10</v>
      </c>
      <c r="J20" s="9" t="s">
        <v>11</v>
      </c>
      <c r="K20" s="9" t="s">
        <v>12</v>
      </c>
    </row>
    <row r="21" ht="16.5" customHeight="1">
      <c r="A21" s="6" t="n">
        <v>1000</v>
      </c>
      <c r="B21" s="19" t="n">
        <v>0.4</v>
      </c>
      <c r="C21" s="7" t="n">
        <f>A21*B21/0.6</f>
        <v>666.666666666667</v>
      </c>
      <c r="D21" s="76" t="n">
        <v>0</v>
      </c>
      <c r="E21" s="6" t="n">
        <f>A21*D21</f>
        <v>0</v>
      </c>
      <c r="F21" s="11" t="n">
        <f>C21*D21</f>
        <v>0</v>
      </c>
      <c r="G21" s="12" t="n">
        <f>D21/$B$30</f>
        <v>0</v>
      </c>
      <c r="H21" s="15" t="s">
        <v>13</v>
      </c>
      <c r="I21" s="13"/>
      <c r="J21" s="13"/>
      <c r="K21" s="13" t="n">
        <v>1</v>
      </c>
      <c r="L21" s="13" t="n">
        <f>K21*D21</f>
        <v>0</v>
      </c>
    </row>
    <row r="22" ht="16.5" customHeight="1">
      <c r="A22" s="6" t="n">
        <v>2000</v>
      </c>
      <c r="B22" s="19" t="n">
        <v>0.4</v>
      </c>
      <c r="C22" s="7" t="n">
        <f>A22*B22/0.6</f>
        <v>1333.33333333333</v>
      </c>
      <c r="D22" s="20" t="n">
        <v>0</v>
      </c>
      <c r="E22" s="6" t="n">
        <f>A22*D22</f>
        <v>0</v>
      </c>
      <c r="F22" s="11" t="n">
        <f>C22*D22</f>
        <v>0</v>
      </c>
      <c r="G22" s="12" t="n">
        <f>D22/$B$30</f>
        <v>0</v>
      </c>
      <c r="H22" s="15" t="s">
        <v>14</v>
      </c>
      <c r="I22" s="13"/>
      <c r="J22" s="13"/>
      <c r="K22" s="13" t="n">
        <v>1</v>
      </c>
      <c r="L22" s="13" t="n">
        <f>K22*D22</f>
        <v>0</v>
      </c>
    </row>
    <row r="23" ht="16.5" customHeight="1">
      <c r="A23" s="6" t="n">
        <v>5000</v>
      </c>
      <c r="B23" s="19" t="n">
        <v>0.4</v>
      </c>
      <c r="C23" s="7" t="n">
        <f>A23*B23/0.6</f>
        <v>3333.33333333333</v>
      </c>
      <c r="D23" s="82" t="n">
        <v>1250</v>
      </c>
      <c r="E23" s="6" t="n">
        <f>A23*D23</f>
        <v>6250000</v>
      </c>
      <c r="F23" s="11" t="n">
        <f>C23*D23</f>
        <v>4166666.66666666</v>
      </c>
      <c r="G23" s="12" t="n">
        <f>D23/$B$30</f>
        <v>0.91441111923921</v>
      </c>
      <c r="H23" s="15" t="s">
        <v>15</v>
      </c>
      <c r="I23" s="13"/>
      <c r="J23" s="13"/>
      <c r="K23" s="13" t="n">
        <f>A23/5000</f>
        <v>1</v>
      </c>
      <c r="L23" s="13" t="n">
        <f>K23*D23</f>
        <v>1250</v>
      </c>
    </row>
    <row r="24" ht="16.5" customHeight="1">
      <c r="A24" s="6" t="n">
        <v>20000</v>
      </c>
      <c r="B24" s="19" t="n">
        <v>0.4</v>
      </c>
      <c r="C24" s="7" t="n">
        <f>A24*B24/0.6</f>
        <v>13333.3333333333</v>
      </c>
      <c r="D24" s="20" t="n">
        <v>100</v>
      </c>
      <c r="E24" s="6" t="n">
        <f>A24*D24</f>
        <v>2000000</v>
      </c>
      <c r="F24" s="11" t="n">
        <f>C24*D24</f>
        <v>1333333.33333333</v>
      </c>
      <c r="G24" s="12" t="n">
        <f>D24/$B$30</f>
        <v>0.0731528895391368</v>
      </c>
      <c r="H24" s="15" t="s">
        <v>16</v>
      </c>
      <c r="I24" s="13"/>
      <c r="J24" s="13"/>
      <c r="K24" s="13" t="n">
        <f>A24/5000</f>
        <v>4</v>
      </c>
      <c r="L24" s="13" t="n">
        <f>K24*D24</f>
        <v>400</v>
      </c>
    </row>
    <row r="25" ht="16.5" customHeight="1">
      <c r="A25" s="6" t="n">
        <v>52000</v>
      </c>
      <c r="B25" s="19" t="n">
        <v>0.4</v>
      </c>
      <c r="C25" s="7" t="n">
        <f>A25*B25/0.6</f>
        <v>34666.6666666667</v>
      </c>
      <c r="D25" s="76" t="n">
        <v>10</v>
      </c>
      <c r="E25" s="6" t="n">
        <f>A25*D25</f>
        <v>520000</v>
      </c>
      <c r="F25" s="11" t="n">
        <f>C25*D25</f>
        <v>346666.666666667</v>
      </c>
      <c r="G25" s="12" t="n">
        <f>D25/$B$30</f>
        <v>0.00731528895391368</v>
      </c>
      <c r="H25" s="15" t="s">
        <v>17</v>
      </c>
      <c r="I25" s="13"/>
      <c r="J25" s="13"/>
      <c r="K25" s="13" t="n">
        <f>A25/5000</f>
        <v>10.4</v>
      </c>
      <c r="L25" s="13" t="n">
        <f>K25*D25</f>
        <v>104</v>
      </c>
    </row>
    <row r="26" ht="16.5" customHeight="1">
      <c r="A26" s="6" t="n">
        <v>80000</v>
      </c>
      <c r="B26" s="19" t="n">
        <v>0.4</v>
      </c>
      <c r="C26" s="7" t="n">
        <f>A26*B26/0.6</f>
        <v>53333.3333333333</v>
      </c>
      <c r="D26" s="76" t="n">
        <v>5</v>
      </c>
      <c r="E26" s="6" t="n">
        <f>A26*D26</f>
        <v>400000</v>
      </c>
      <c r="F26" s="11" t="n">
        <f>C26*D26</f>
        <v>266666.666666667</v>
      </c>
      <c r="G26" s="12" t="n">
        <f>D26/$B$30</f>
        <v>0.00365764447695684</v>
      </c>
      <c r="H26" s="21" t="s">
        <v>18</v>
      </c>
      <c r="I26" s="13"/>
      <c r="J26" s="13"/>
      <c r="K26" s="13" t="n">
        <f>A26/5000</f>
        <v>16</v>
      </c>
      <c r="L26" s="13" t="n">
        <f>K26*D26</f>
        <v>80</v>
      </c>
    </row>
    <row r="27" ht="16.5" customHeight="1">
      <c r="A27" s="6" t="n">
        <v>100000</v>
      </c>
      <c r="B27" s="19" t="n">
        <v>0.4</v>
      </c>
      <c r="C27" s="7" t="n">
        <f>A27*B27/0.6</f>
        <v>66666.6666666667</v>
      </c>
      <c r="D27" s="20" t="n">
        <v>0</v>
      </c>
      <c r="E27" s="6" t="n">
        <f>A27*D27</f>
        <v>0</v>
      </c>
      <c r="F27" s="11" t="n">
        <f>C27*D27</f>
        <v>0</v>
      </c>
      <c r="G27" s="12" t="n">
        <f>D27/$B$30</f>
        <v>0</v>
      </c>
      <c r="H27" s="15" t="s">
        <v>19</v>
      </c>
      <c r="I27" s="13"/>
      <c r="J27" s="13"/>
      <c r="K27" s="13" t="n">
        <f>A27/5000</f>
        <v>20</v>
      </c>
      <c r="L27" s="13" t="n">
        <f>K27*D27</f>
        <v>0</v>
      </c>
    </row>
    <row r="28" ht="16.5" customHeight="1">
      <c r="A28" s="6" t="n">
        <v>200000</v>
      </c>
      <c r="B28" s="19" t="n">
        <v>0.4</v>
      </c>
      <c r="C28" s="7" t="n">
        <f>A28*B28/0.6</f>
        <v>133333.333333333</v>
      </c>
      <c r="D28" s="76" t="n">
        <v>2</v>
      </c>
      <c r="E28" s="6" t="n">
        <f>A28*D28</f>
        <v>400000</v>
      </c>
      <c r="F28" s="11" t="n">
        <f>C28*D28</f>
        <v>266666.666666666</v>
      </c>
      <c r="G28" s="12" t="n">
        <f>D28/$B$30</f>
        <v>0.00146305779078274</v>
      </c>
      <c r="H28" s="15" t="s">
        <v>20</v>
      </c>
      <c r="I28" s="13"/>
      <c r="J28" s="13"/>
      <c r="K28" s="13" t="n">
        <f>A28/5000</f>
        <v>40</v>
      </c>
      <c r="L28" s="13" t="n">
        <f>K28*D28</f>
        <v>80</v>
      </c>
    </row>
    <row r="29" ht="16.5" customHeight="1">
      <c r="A29" s="17"/>
      <c r="B29" s="17"/>
      <c r="C29" s="17"/>
      <c r="D29" s="17"/>
      <c r="E29" s="17"/>
      <c r="F29" s="17"/>
      <c r="G29" s="17"/>
      <c r="H29" s="17"/>
    </row>
    <row r="30" ht="16.5" customHeight="1">
      <c r="A30" s="22" t="s">
        <v>21</v>
      </c>
      <c r="B30" s="23" t="n">
        <f>SUM(D21:D28)</f>
        <v>1367</v>
      </c>
      <c r="C30" s="24" t="s">
        <v>22</v>
      </c>
      <c r="D30" s="10"/>
      <c r="E30" s="31" t="n">
        <f>SUM(E21:E28)</f>
        <v>9570000</v>
      </c>
      <c r="F30" s="39" t="s">
        <v>23</v>
      </c>
      <c r="G30" s="40"/>
      <c r="H30" s="41" t="n">
        <f>E30/E32</f>
        <v>1.40014630577908</v>
      </c>
    </row>
    <row r="31" ht="16.5" customHeight="1">
      <c r="A31" s="22" t="s">
        <v>24</v>
      </c>
      <c r="B31" s="22" t="n">
        <v>5000</v>
      </c>
      <c r="C31" s="24" t="s">
        <v>25</v>
      </c>
      <c r="D31" s="10"/>
      <c r="E31" s="31" t="n">
        <f>SUM(F21:F28)</f>
        <v>6379999.99999999</v>
      </c>
      <c r="F31" s="39" t="s">
        <v>26</v>
      </c>
      <c r="G31" s="40"/>
      <c r="H31" s="41" t="n">
        <f>E31/E32</f>
        <v>0.933430870519384</v>
      </c>
    </row>
    <row r="32" ht="16.5" customHeight="1">
      <c r="A32" s="15"/>
      <c r="B32" s="15"/>
      <c r="C32" s="24" t="s">
        <v>27</v>
      </c>
      <c r="D32" s="10"/>
      <c r="E32" s="8" t="n">
        <f>B30*B31</f>
        <v>6835000</v>
      </c>
      <c r="F32" s="39" t="s">
        <v>28</v>
      </c>
      <c r="G32" s="40"/>
      <c r="H32" s="41" t="n">
        <f>E32/E31</f>
        <v>1.07131661442006</v>
      </c>
    </row>
  </sheetData>
  <mergeCells count="16">
    <mergeCell ref="F13:G13"/>
    <mergeCell ref="F14:G14"/>
    <mergeCell ref="A1:H1"/>
    <mergeCell ref="A2:H2"/>
    <mergeCell ref="C13:D13"/>
    <mergeCell ref="C14:D14"/>
    <mergeCell ref="C15:D15"/>
    <mergeCell ref="F15:G15"/>
    <mergeCell ref="F30:G30"/>
    <mergeCell ref="F31:G31"/>
    <mergeCell ref="A18:H18"/>
    <mergeCell ref="A19:H19"/>
    <mergeCell ref="C30:D30"/>
    <mergeCell ref="C31:D31"/>
    <mergeCell ref="C32:D32"/>
    <mergeCell ref="F32:G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19.6728515625" customWidth="1"/>
    <col min="15" max="15" width="16.857421875" customWidth="1"/>
    <col min="21" max="21" width="19.6728515625" customWidth="1"/>
  </cols>
  <sheetData>
    <row r="1" ht="16.5" customHeight="1">
      <c r="A1" s="30" t="s">
        <v>29</v>
      </c>
      <c r="B1" s="27"/>
      <c r="C1" s="27"/>
      <c r="D1" s="27"/>
      <c r="E1" s="27"/>
      <c r="F1" s="27"/>
      <c r="G1" s="27"/>
      <c r="H1" s="28"/>
      <c r="N1" s="77" t="s">
        <v>29</v>
      </c>
      <c r="O1" s="79"/>
      <c r="P1" s="79"/>
      <c r="Q1" s="79"/>
      <c r="R1" s="79"/>
      <c r="S1" s="79"/>
      <c r="T1" s="79"/>
      <c r="U1" s="81"/>
    </row>
    <row r="2" ht="16.5" customHeight="1">
      <c r="A2" s="15" t="s">
        <v>30</v>
      </c>
      <c r="B2" s="10"/>
      <c r="C2" s="10"/>
      <c r="D2" s="10"/>
      <c r="E2" s="10"/>
      <c r="F2" s="10"/>
      <c r="G2" s="10"/>
      <c r="H2" s="10"/>
      <c r="N2" s="15" t="s">
        <v>30</v>
      </c>
      <c r="O2" s="10"/>
      <c r="P2" s="10"/>
      <c r="Q2" s="10"/>
      <c r="R2" s="10"/>
      <c r="S2" s="10"/>
      <c r="T2" s="10"/>
      <c r="U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N3" s="17" t="s">
        <v>2</v>
      </c>
      <c r="O3" s="15" t="s">
        <v>3</v>
      </c>
      <c r="P3" s="18" t="s">
        <v>4</v>
      </c>
      <c r="Q3" s="20" t="s">
        <v>5</v>
      </c>
      <c r="R3" s="17" t="s">
        <v>6</v>
      </c>
      <c r="S3" s="15" t="s">
        <v>7</v>
      </c>
      <c r="T3" s="15" t="s">
        <v>8</v>
      </c>
      <c r="U3" s="17" t="s">
        <v>9</v>
      </c>
      <c r="V3" s="9" t="s">
        <v>10</v>
      </c>
      <c r="W3" s="9" t="s">
        <v>11</v>
      </c>
      <c r="X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20" t="n">
        <v>960</v>
      </c>
      <c r="E4" s="6" t="n">
        <f>A4*D4</f>
        <v>960000</v>
      </c>
      <c r="F4" s="11" t="n">
        <f>C4*D4</f>
        <v>640000</v>
      </c>
      <c r="G4" s="12" t="n">
        <f>D4/$B$15</f>
        <v>0.320213475650434</v>
      </c>
      <c r="H4" s="15" t="s">
        <v>31</v>
      </c>
      <c r="I4" s="5"/>
      <c r="J4" s="13"/>
      <c r="K4" s="13" t="n">
        <v>4</v>
      </c>
      <c r="L4" s="13" t="n">
        <f>K4*D4</f>
        <v>3840</v>
      </c>
      <c r="M4" s="32"/>
      <c r="N4" s="6" t="n">
        <v>1000</v>
      </c>
      <c r="O4" s="19" t="n">
        <v>0.4</v>
      </c>
      <c r="P4" s="7" t="n">
        <f>N4*O4/0.6</f>
        <v>666.666666666667</v>
      </c>
      <c r="Q4" s="82" t="n">
        <v>1100</v>
      </c>
      <c r="R4" s="6" t="n">
        <f>N4*Q4</f>
        <v>1100000</v>
      </c>
      <c r="S4" s="11" t="n">
        <f>P4*Q4</f>
        <v>733333.333333334</v>
      </c>
      <c r="T4" s="12" t="n">
        <f>Q4/$O$15</f>
        <v>0.350541746335245</v>
      </c>
      <c r="U4" s="15" t="s">
        <v>31</v>
      </c>
      <c r="V4" s="5"/>
      <c r="W4" s="13"/>
      <c r="X4" s="13" t="n">
        <v>4</v>
      </c>
      <c r="Y4" s="13" t="n">
        <f>X4*Q4</f>
        <v>4400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450</v>
      </c>
      <c r="E5" s="6" t="n">
        <f>A5*D5</f>
        <v>4500000</v>
      </c>
      <c r="F5" s="11" t="n">
        <f>C5*D5</f>
        <v>3000000</v>
      </c>
      <c r="G5" s="12" t="n">
        <f>D5/$B$15</f>
        <v>0.150100066711141</v>
      </c>
      <c r="H5" s="15" t="s">
        <v>32</v>
      </c>
      <c r="I5" s="35" t="s">
        <v>33</v>
      </c>
      <c r="J5" s="13"/>
      <c r="K5" s="13" t="n">
        <f>A5/5000</f>
        <v>2</v>
      </c>
      <c r="L5" s="13" t="n">
        <f>K5*D5</f>
        <v>900</v>
      </c>
      <c r="N5" s="6" t="n">
        <v>10000</v>
      </c>
      <c r="O5" s="19" t="n">
        <v>0.4</v>
      </c>
      <c r="P5" s="7" t="n">
        <f>N5*O5/0.6</f>
        <v>6666.66666666667</v>
      </c>
      <c r="Q5" s="20" t="n">
        <v>450</v>
      </c>
      <c r="R5" s="6" t="n">
        <f>N5*Q5</f>
        <v>4500000</v>
      </c>
      <c r="S5" s="11" t="n">
        <f>P5*Q5</f>
        <v>3000000</v>
      </c>
      <c r="T5" s="12" t="n">
        <f>Q5/$O$15</f>
        <v>0.1434034416826</v>
      </c>
      <c r="U5" s="15" t="s">
        <v>32</v>
      </c>
      <c r="V5" s="35" t="s">
        <v>33</v>
      </c>
      <c r="W5" s="13"/>
      <c r="X5" s="13" t="n">
        <f>N5/5000</f>
        <v>2</v>
      </c>
      <c r="Y5" s="13" t="n">
        <f>X5*Q5</f>
        <v>900</v>
      </c>
    </row>
    <row r="6" ht="16.5" customHeight="1">
      <c r="A6" s="6" t="n">
        <v>20000</v>
      </c>
      <c r="B6" s="19" t="n">
        <v>0.4</v>
      </c>
      <c r="C6" s="7" t="n">
        <f>A6*B6/0.6</f>
        <v>13333.3333333333</v>
      </c>
      <c r="D6" s="20" t="n">
        <v>1080</v>
      </c>
      <c r="E6" s="6" t="n">
        <f>A6*D6</f>
        <v>21600000</v>
      </c>
      <c r="F6" s="11" t="n">
        <f>C6*D6</f>
        <v>14400000</v>
      </c>
      <c r="G6" s="12" t="n">
        <f>D6/$B$15</f>
        <v>0.360240160106738</v>
      </c>
      <c r="H6" s="15" t="s">
        <v>34</v>
      </c>
      <c r="I6" s="35" t="s">
        <v>35</v>
      </c>
      <c r="J6" s="13"/>
      <c r="K6" s="13" t="n">
        <f>A6/5000</f>
        <v>4</v>
      </c>
      <c r="L6" s="13" t="n">
        <f>K6*D6</f>
        <v>4320</v>
      </c>
      <c r="N6" s="6" t="n">
        <v>20000</v>
      </c>
      <c r="O6" s="19" t="n">
        <v>0.4</v>
      </c>
      <c r="P6" s="7" t="n">
        <f>N6*O6/0.6</f>
        <v>13333.3333333333</v>
      </c>
      <c r="Q6" s="20" t="n">
        <v>1080</v>
      </c>
      <c r="R6" s="6" t="n">
        <f>N6*Q6</f>
        <v>21600000</v>
      </c>
      <c r="S6" s="11" t="n">
        <f>P6*Q6</f>
        <v>14400000</v>
      </c>
      <c r="T6" s="12" t="n">
        <f>Q6/$O$15</f>
        <v>0.344168260038241</v>
      </c>
      <c r="U6" s="15" t="s">
        <v>34</v>
      </c>
      <c r="V6" s="35" t="s">
        <v>35</v>
      </c>
      <c r="W6" s="13"/>
      <c r="X6" s="13" t="n">
        <f>N6/5000</f>
        <v>4</v>
      </c>
      <c r="Y6" s="13" t="n">
        <f>X6*Q6</f>
        <v>4320</v>
      </c>
    </row>
    <row r="7" ht="16.5" customHeight="1">
      <c r="A7" s="6" t="n">
        <v>52000</v>
      </c>
      <c r="B7" s="19" t="n">
        <v>0.4</v>
      </c>
      <c r="C7" s="7" t="n">
        <f>A7*B7/0.6</f>
        <v>34666.6666666667</v>
      </c>
      <c r="D7" s="20" t="n">
        <v>300</v>
      </c>
      <c r="E7" s="6" t="n">
        <f>A7*D7</f>
        <v>15600000</v>
      </c>
      <c r="F7" s="11" t="n">
        <f>C7*D7</f>
        <v>10400000</v>
      </c>
      <c r="G7" s="12" t="n">
        <f>D7/$B$15</f>
        <v>0.100066711140761</v>
      </c>
      <c r="H7" s="15" t="s">
        <v>36</v>
      </c>
      <c r="I7" s="48"/>
      <c r="J7" s="13"/>
      <c r="K7" s="13" t="n">
        <f>A7/5000</f>
        <v>10.4</v>
      </c>
      <c r="L7" s="13" t="n">
        <f>K7*D7</f>
        <v>3120</v>
      </c>
      <c r="N7" s="6" t="n">
        <v>52000</v>
      </c>
      <c r="O7" s="19" t="n">
        <v>0.4</v>
      </c>
      <c r="P7" s="7" t="n">
        <f>N7*O7/0.6</f>
        <v>34666.6666666667</v>
      </c>
      <c r="Q7" s="20" t="n">
        <v>300</v>
      </c>
      <c r="R7" s="6" t="n">
        <f>N7*Q7</f>
        <v>15600000</v>
      </c>
      <c r="S7" s="11" t="n">
        <f>P7*Q7</f>
        <v>10400000</v>
      </c>
      <c r="T7" s="12" t="n">
        <f>Q7/$O$15</f>
        <v>0.0956022944550669</v>
      </c>
      <c r="U7" s="15" t="s">
        <v>36</v>
      </c>
      <c r="V7" s="48"/>
      <c r="W7" s="13"/>
      <c r="X7" s="13" t="n">
        <f>N7/5000</f>
        <v>10.4</v>
      </c>
      <c r="Y7" s="13" t="n">
        <f>X7*Q7</f>
        <v>3120</v>
      </c>
    </row>
    <row r="8" ht="16.5" customHeight="1">
      <c r="A8" s="6" t="n">
        <v>80000</v>
      </c>
      <c r="B8" s="19" t="n">
        <v>0.4</v>
      </c>
      <c r="C8" s="7" t="n">
        <f>A8*B8/0.6</f>
        <v>53333.3333333333</v>
      </c>
      <c r="D8" s="20" t="n">
        <v>165</v>
      </c>
      <c r="E8" s="6" t="n">
        <f>A8*D8</f>
        <v>13200000</v>
      </c>
      <c r="F8" s="11" t="n">
        <f>C8*D8</f>
        <v>8799999.99999999</v>
      </c>
      <c r="G8" s="12" t="n">
        <f>D8/$B$15</f>
        <v>0.0550366911274183</v>
      </c>
      <c r="H8" s="21" t="s">
        <v>37</v>
      </c>
      <c r="I8" s="48"/>
      <c r="J8" s="13"/>
      <c r="K8" s="13" t="n">
        <f>A8/5000</f>
        <v>16</v>
      </c>
      <c r="L8" s="13" t="n">
        <f>K8*D8</f>
        <v>2640</v>
      </c>
      <c r="N8" s="6" t="n">
        <v>80000</v>
      </c>
      <c r="O8" s="19" t="n">
        <v>0.4</v>
      </c>
      <c r="P8" s="7" t="n">
        <f>N8*O8/0.6</f>
        <v>53333.3333333333</v>
      </c>
      <c r="Q8" s="20" t="n">
        <v>165</v>
      </c>
      <c r="R8" s="6" t="n">
        <f>N8*Q8</f>
        <v>13200000</v>
      </c>
      <c r="S8" s="11" t="n">
        <f>P8*Q8</f>
        <v>8799999.99999999</v>
      </c>
      <c r="T8" s="12" t="n">
        <f>Q8/$O$15</f>
        <v>0.0525812619502868</v>
      </c>
      <c r="U8" s="21" t="s">
        <v>37</v>
      </c>
      <c r="V8" s="48"/>
      <c r="W8" s="13"/>
      <c r="X8" s="13" t="n">
        <f>N8/5000</f>
        <v>16</v>
      </c>
      <c r="Y8" s="13" t="n">
        <f>X8*Q8</f>
        <v>2640</v>
      </c>
    </row>
    <row r="9" ht="16.5" customHeight="1">
      <c r="A9" s="6" t="n">
        <v>200000</v>
      </c>
      <c r="B9" s="19" t="n">
        <v>0.4</v>
      </c>
      <c r="C9" s="7" t="n">
        <f>A9*B9/0.6</f>
        <v>133333.333333333</v>
      </c>
      <c r="D9" s="20" t="n">
        <v>33</v>
      </c>
      <c r="E9" s="6" t="n">
        <f>A9*D9</f>
        <v>6600000</v>
      </c>
      <c r="F9" s="11" t="n">
        <f>C9*D9</f>
        <v>4399999.99999999</v>
      </c>
      <c r="G9" s="12" t="n">
        <f>D9/$B$15</f>
        <v>0.0110073382254837</v>
      </c>
      <c r="H9" s="15" t="s">
        <v>38</v>
      </c>
      <c r="I9" s="48" t="s">
        <v>39</v>
      </c>
      <c r="J9" s="13"/>
      <c r="K9" s="13" t="n">
        <f>A9/5000</f>
        <v>40</v>
      </c>
      <c r="L9" s="13" t="n">
        <f>K9*D9</f>
        <v>1320</v>
      </c>
      <c r="N9" s="6" t="n">
        <v>200000</v>
      </c>
      <c r="O9" s="19" t="n">
        <v>0.4</v>
      </c>
      <c r="P9" s="7" t="n">
        <f>N9*O9/0.6</f>
        <v>133333.333333333</v>
      </c>
      <c r="Q9" s="20" t="n">
        <v>33</v>
      </c>
      <c r="R9" s="6" t="n">
        <f>N9*Q9</f>
        <v>6600000</v>
      </c>
      <c r="S9" s="11" t="n">
        <f>P9*Q9</f>
        <v>4399999.99999999</v>
      </c>
      <c r="T9" s="12" t="n">
        <f>Q9/$O$15</f>
        <v>0.0105162523900574</v>
      </c>
      <c r="U9" s="15" t="s">
        <v>38</v>
      </c>
      <c r="V9" s="48" t="s">
        <v>39</v>
      </c>
      <c r="W9" s="13"/>
      <c r="X9" s="13" t="n">
        <f>N9/5000</f>
        <v>40</v>
      </c>
      <c r="Y9" s="13" t="n">
        <f>X9*Q9</f>
        <v>1320</v>
      </c>
    </row>
    <row r="10" ht="16.5" customHeight="1">
      <c r="A10" s="6" t="n">
        <v>500000</v>
      </c>
      <c r="B10" s="19" t="n">
        <v>0.4</v>
      </c>
      <c r="C10" s="7" t="n">
        <f>A10*B10/0.6</f>
        <v>333333.333333333</v>
      </c>
      <c r="D10" s="20" t="n">
        <v>3</v>
      </c>
      <c r="E10" s="6" t="n">
        <f>A10*D10</f>
        <v>1500000</v>
      </c>
      <c r="F10" s="11" t="n">
        <f>C10*D10</f>
        <v>999999.999999999</v>
      </c>
      <c r="G10" s="12" t="n">
        <f>D10/$B$15</f>
        <v>0.00100066711140761</v>
      </c>
      <c r="H10" s="15" t="s">
        <v>40</v>
      </c>
      <c r="I10" s="35" t="s">
        <v>41</v>
      </c>
      <c r="J10" s="13"/>
      <c r="K10" s="13" t="n">
        <f>A10/5000</f>
        <v>100</v>
      </c>
      <c r="L10" s="13" t="n">
        <f>K10*D10</f>
        <v>300</v>
      </c>
      <c r="N10" s="6" t="n">
        <v>500000</v>
      </c>
      <c r="O10" s="19" t="n">
        <v>0.4</v>
      </c>
      <c r="P10" s="7" t="n">
        <f>N10*O10/0.6</f>
        <v>333333.333333333</v>
      </c>
      <c r="Q10" s="20" t="n">
        <v>3</v>
      </c>
      <c r="R10" s="6" t="n">
        <f>N10*Q10</f>
        <v>1500000</v>
      </c>
      <c r="S10" s="11" t="n">
        <f>P10*Q10</f>
        <v>999999.999999999</v>
      </c>
      <c r="T10" s="12" t="n">
        <f>Q10/$O$15</f>
        <v>9.56022944550669e-4</v>
      </c>
      <c r="U10" s="15" t="s">
        <v>40</v>
      </c>
      <c r="V10" s="35" t="s">
        <v>41</v>
      </c>
      <c r="W10" s="13"/>
      <c r="X10" s="13" t="n">
        <f>N10/5000</f>
        <v>100</v>
      </c>
      <c r="Y10" s="13" t="n">
        <f>X10*Q10</f>
        <v>300</v>
      </c>
    </row>
    <row r="11" ht="16.5" customHeight="1">
      <c r="A11" s="6" t="n">
        <v>1000000</v>
      </c>
      <c r="B11" s="19" t="n">
        <v>0.4</v>
      </c>
      <c r="C11" s="7" t="n">
        <f>A11*B11/0.6</f>
        <v>666666.666666667</v>
      </c>
      <c r="D11" s="76" t="n">
        <v>2</v>
      </c>
      <c r="E11" s="6" t="n">
        <f>A11*D11</f>
        <v>2000000</v>
      </c>
      <c r="F11" s="11" t="n">
        <f>C11*D11</f>
        <v>1333333.33333333</v>
      </c>
      <c r="G11" s="12" t="n">
        <f>D11/$B$15</f>
        <v>0.00066711140760507</v>
      </c>
      <c r="H11" s="15" t="s">
        <v>42</v>
      </c>
      <c r="I11" s="48"/>
      <c r="J11" s="13" t="s">
        <v>43</v>
      </c>
      <c r="K11" s="13" t="n">
        <f>A11/5000</f>
        <v>200</v>
      </c>
      <c r="L11" s="13" t="n">
        <f>K11*D11</f>
        <v>400</v>
      </c>
      <c r="N11" s="6" t="n">
        <v>1000000</v>
      </c>
      <c r="O11" s="19" t="n">
        <v>0.4</v>
      </c>
      <c r="P11" s="7" t="n">
        <f>N11*O11/0.6</f>
        <v>666666.666666667</v>
      </c>
      <c r="Q11" s="76" t="n">
        <v>2</v>
      </c>
      <c r="R11" s="6" t="n">
        <f>N11*Q11</f>
        <v>2000000</v>
      </c>
      <c r="S11" s="11" t="n">
        <f>P11*Q11</f>
        <v>1333333.33333333</v>
      </c>
      <c r="T11" s="12" t="n">
        <f>Q11/$O$15</f>
        <v>6.37348629700446e-4</v>
      </c>
      <c r="U11" s="15" t="s">
        <v>42</v>
      </c>
      <c r="V11" s="48"/>
      <c r="W11" s="13" t="s">
        <v>43</v>
      </c>
      <c r="X11" s="13" t="n">
        <f>N11/5000</f>
        <v>200</v>
      </c>
      <c r="Y11" s="13" t="n">
        <f>X11*Q11</f>
        <v>400</v>
      </c>
    </row>
    <row r="12" ht="16.5" customHeight="1">
      <c r="A12" s="6" t="n">
        <v>2000000</v>
      </c>
      <c r="B12" s="19" t="n">
        <v>0.4</v>
      </c>
      <c r="C12" s="7" t="n">
        <f>A12*B12/0.6</f>
        <v>1333333.33333333</v>
      </c>
      <c r="D12" s="76" t="n">
        <v>2</v>
      </c>
      <c r="E12" s="6" t="n">
        <f>A12*D12</f>
        <v>4000000</v>
      </c>
      <c r="F12" s="11" t="n">
        <f>C12*D12</f>
        <v>2666666.66666666</v>
      </c>
      <c r="G12" s="12" t="n">
        <f>D12/$B$15</f>
        <v>0.00066711140760507</v>
      </c>
      <c r="H12" s="15" t="s">
        <v>44</v>
      </c>
      <c r="I12" s="35" t="s">
        <v>45</v>
      </c>
      <c r="J12" s="13" t="s">
        <v>43</v>
      </c>
      <c r="K12" s="13" t="n">
        <f>A12/5000</f>
        <v>400</v>
      </c>
      <c r="L12" s="13" t="n">
        <f>K12*D12</f>
        <v>800</v>
      </c>
      <c r="N12" s="6" t="n">
        <v>2000000</v>
      </c>
      <c r="O12" s="19" t="n">
        <v>0.4</v>
      </c>
      <c r="P12" s="7" t="n">
        <f>N12*O12/0.6</f>
        <v>1333333.33333333</v>
      </c>
      <c r="Q12" s="76" t="n">
        <v>2</v>
      </c>
      <c r="R12" s="6" t="n">
        <f>N12*Q12</f>
        <v>4000000</v>
      </c>
      <c r="S12" s="11" t="n">
        <f>P12*Q12</f>
        <v>2666666.66666666</v>
      </c>
      <c r="T12" s="12" t="n">
        <f>Q12/$O$15</f>
        <v>6.37348629700446e-4</v>
      </c>
      <c r="U12" s="15" t="s">
        <v>44</v>
      </c>
      <c r="V12" s="35" t="s">
        <v>45</v>
      </c>
      <c r="W12" s="13" t="s">
        <v>43</v>
      </c>
      <c r="X12" s="13" t="n">
        <f>N12/5000</f>
        <v>400</v>
      </c>
      <c r="Y12" s="13" t="n">
        <f>X12*Q12</f>
        <v>800</v>
      </c>
    </row>
    <row r="13" ht="16.5" customHeight="1">
      <c r="A13" s="6" t="n">
        <v>5000000</v>
      </c>
      <c r="B13" s="19" t="n">
        <v>0.4</v>
      </c>
      <c r="C13" s="7" t="n">
        <f>A13*B13/0.6</f>
        <v>3333333.33333333</v>
      </c>
      <c r="D13" s="20" t="n">
        <v>3</v>
      </c>
      <c r="E13" s="6" t="n">
        <f>A13*D13</f>
        <v>15000000</v>
      </c>
      <c r="F13" s="11" t="n">
        <f>C13*D13</f>
        <v>9999999.99999999</v>
      </c>
      <c r="G13" s="12" t="n">
        <f>D13/$B$15</f>
        <v>0.00100066711140761</v>
      </c>
      <c r="H13" s="15" t="s">
        <v>46</v>
      </c>
      <c r="I13" s="48" t="s">
        <v>47</v>
      </c>
      <c r="J13" s="13" t="s">
        <v>43</v>
      </c>
      <c r="K13" s="13" t="n">
        <f>A13/5000</f>
        <v>1000</v>
      </c>
      <c r="L13" s="13" t="n">
        <f>K13*D13</f>
        <v>3000</v>
      </c>
      <c r="N13" s="6" t="n">
        <v>5000000</v>
      </c>
      <c r="O13" s="19" t="n">
        <v>0.4</v>
      </c>
      <c r="P13" s="7" t="n">
        <f>N13*O13/0.6</f>
        <v>3333333.33333333</v>
      </c>
      <c r="Q13" s="20" t="n">
        <v>3</v>
      </c>
      <c r="R13" s="6" t="n">
        <f>N13*Q13</f>
        <v>15000000</v>
      </c>
      <c r="S13" s="11" t="n">
        <f>P13*Q13</f>
        <v>9999999.99999999</v>
      </c>
      <c r="T13" s="12" t="n">
        <f>Q13/$O$15</f>
        <v>9.56022944550669e-4</v>
      </c>
      <c r="U13" s="15" t="s">
        <v>46</v>
      </c>
      <c r="V13" s="48" t="s">
        <v>47</v>
      </c>
      <c r="W13" s="13" t="s">
        <v>43</v>
      </c>
      <c r="X13" s="13" t="n">
        <f>N13/5000</f>
        <v>1000</v>
      </c>
      <c r="Y13" s="13" t="n">
        <f>X13*Q13</f>
        <v>3000</v>
      </c>
    </row>
    <row r="14" ht="16.5" customHeight="1">
      <c r="A14" s="17"/>
      <c r="B14" s="17"/>
      <c r="C14" s="17"/>
      <c r="D14" s="17"/>
      <c r="E14" s="17"/>
      <c r="F14" s="17"/>
      <c r="G14" s="17"/>
      <c r="H14" s="17"/>
      <c r="N14" s="17"/>
      <c r="O14" s="17"/>
      <c r="P14" s="17"/>
      <c r="Q14" s="17"/>
      <c r="R14" s="17"/>
      <c r="S14" s="17"/>
      <c r="T14" s="17"/>
      <c r="U14" s="17"/>
    </row>
    <row r="15" ht="16.5" customHeight="1">
      <c r="A15" s="22" t="s">
        <v>21</v>
      </c>
      <c r="B15" s="23" t="n">
        <f>SUM(D4:D13)</f>
        <v>2998</v>
      </c>
      <c r="C15" s="24" t="s">
        <v>22</v>
      </c>
      <c r="D15" s="10"/>
      <c r="E15" s="31" t="n">
        <f>SUM(E4:E13)</f>
        <v>84960000</v>
      </c>
      <c r="F15" s="39" t="s">
        <v>23</v>
      </c>
      <c r="G15" s="40"/>
      <c r="H15" s="41" t="n">
        <f>E15/E17</f>
        <v>1.41694462975317</v>
      </c>
      <c r="N15" s="22" t="s">
        <v>21</v>
      </c>
      <c r="O15" s="23" t="n">
        <f>SUM(Q4:Q13)</f>
        <v>3138</v>
      </c>
      <c r="P15" s="24" t="s">
        <v>22</v>
      </c>
      <c r="Q15" s="10"/>
      <c r="R15" s="31" t="n">
        <f>SUM(R4:R13)</f>
        <v>85100000</v>
      </c>
      <c r="S15" s="39" t="s">
        <v>23</v>
      </c>
      <c r="T15" s="40"/>
      <c r="U15" s="41" t="n">
        <f>R15/R17</f>
        <v>1.3559592096877</v>
      </c>
    </row>
    <row r="16" ht="16.5" customHeight="1">
      <c r="A16" s="22" t="s">
        <v>24</v>
      </c>
      <c r="B16" s="22" t="n">
        <v>20000</v>
      </c>
      <c r="C16" s="24" t="s">
        <v>25</v>
      </c>
      <c r="D16" s="10"/>
      <c r="E16" s="31" t="n">
        <f>SUM(F4:F13)</f>
        <v>56640000</v>
      </c>
      <c r="F16" s="39" t="s">
        <v>26</v>
      </c>
      <c r="G16" s="40"/>
      <c r="H16" s="41" t="n">
        <f>E16/E17</f>
        <v>0.944629753168779</v>
      </c>
      <c r="N16" s="22" t="s">
        <v>24</v>
      </c>
      <c r="O16" s="22" t="n">
        <v>20000</v>
      </c>
      <c r="P16" s="24" t="s">
        <v>25</v>
      </c>
      <c r="Q16" s="10"/>
      <c r="R16" s="31" t="n">
        <f>SUM(S4:S13)</f>
        <v>56733333.3333333</v>
      </c>
      <c r="S16" s="39" t="s">
        <v>26</v>
      </c>
      <c r="T16" s="40"/>
      <c r="U16" s="41" t="n">
        <f>R16/R17</f>
        <v>0.903972806458466</v>
      </c>
    </row>
    <row r="17" ht="16.5" customHeight="1">
      <c r="A17" s="15"/>
      <c r="B17" s="15"/>
      <c r="C17" s="24" t="s">
        <v>27</v>
      </c>
      <c r="D17" s="10"/>
      <c r="E17" s="8" t="n">
        <f>B15*B16</f>
        <v>59960000</v>
      </c>
      <c r="F17" s="39" t="s">
        <v>28</v>
      </c>
      <c r="G17" s="40"/>
      <c r="H17" s="41" t="n">
        <f>E17/E16</f>
        <v>1.05861581920904</v>
      </c>
      <c r="N17" s="15"/>
      <c r="O17" s="15"/>
      <c r="P17" s="24" t="s">
        <v>27</v>
      </c>
      <c r="Q17" s="10"/>
      <c r="R17" s="8" t="n">
        <f>O15*O16</f>
        <v>62760000</v>
      </c>
      <c r="S17" s="39" t="s">
        <v>28</v>
      </c>
      <c r="T17" s="40"/>
      <c r="U17" s="41" t="n">
        <f>R17/R16</f>
        <v>1.10622796709753</v>
      </c>
    </row>
  </sheetData>
  <mergeCells count="16">
    <mergeCell ref="F15:G15"/>
    <mergeCell ref="F16:G16"/>
    <mergeCell ref="A1:H1"/>
    <mergeCell ref="A2:H2"/>
    <mergeCell ref="C15:D15"/>
    <mergeCell ref="C16:D16"/>
    <mergeCell ref="C17:D17"/>
    <mergeCell ref="F17:G17"/>
    <mergeCell ref="S15:T15"/>
    <mergeCell ref="S16:T16"/>
    <mergeCell ref="N1:U1"/>
    <mergeCell ref="N2:U2"/>
    <mergeCell ref="P15:Q15"/>
    <mergeCell ref="P16:Q16"/>
    <mergeCell ref="P17:Q17"/>
    <mergeCell ref="S17:T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9" max="9" width="10.875" customWidth="1"/>
  </cols>
  <sheetData>
    <row r="1" ht="16.5" customHeight="1">
      <c r="A1" s="30" t="s">
        <v>48</v>
      </c>
      <c r="B1" s="27"/>
      <c r="C1" s="27"/>
      <c r="D1" s="27"/>
      <c r="E1" s="27"/>
      <c r="F1" s="27"/>
      <c r="G1" s="27"/>
      <c r="H1" s="28"/>
      <c r="I1" s="9"/>
      <c r="J1" s="9"/>
      <c r="K1" s="9"/>
      <c r="L1" s="9"/>
      <c r="O1" s="77" t="s">
        <v>48</v>
      </c>
      <c r="P1" s="79"/>
      <c r="Q1" s="79"/>
      <c r="R1" s="79"/>
      <c r="S1" s="79"/>
      <c r="T1" s="79"/>
      <c r="U1" s="79"/>
      <c r="V1" s="81"/>
      <c r="W1" s="9"/>
      <c r="X1" s="9"/>
      <c r="Y1" s="9"/>
      <c r="Z1" s="9"/>
    </row>
    <row r="2" ht="16.5" customHeight="1">
      <c r="A2" s="15" t="s">
        <v>49</v>
      </c>
      <c r="B2" s="10"/>
      <c r="C2" s="10"/>
      <c r="D2" s="10"/>
      <c r="E2" s="10"/>
      <c r="F2" s="10"/>
      <c r="G2" s="10"/>
      <c r="H2" s="10"/>
      <c r="I2" s="9"/>
      <c r="J2" s="9"/>
      <c r="K2" s="9"/>
      <c r="L2" s="9"/>
      <c r="O2" s="15" t="s">
        <v>49</v>
      </c>
      <c r="P2" s="10"/>
      <c r="Q2" s="10"/>
      <c r="R2" s="10"/>
      <c r="S2" s="10"/>
      <c r="T2" s="10"/>
      <c r="U2" s="10"/>
      <c r="V2" s="10"/>
      <c r="W2" s="9"/>
      <c r="X2" s="9"/>
      <c r="Y2" s="9"/>
      <c r="Z2" s="9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L3" s="9"/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10</v>
      </c>
      <c r="X3" s="9" t="s">
        <v>11</v>
      </c>
      <c r="Y3" s="9" t="s">
        <v>12</v>
      </c>
      <c r="Z3" s="9"/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20" t="n">
        <v>960</v>
      </c>
      <c r="E4" s="6" t="n">
        <f>A4*D4</f>
        <v>960000</v>
      </c>
      <c r="F4" s="11" t="n">
        <f>C4*D4</f>
        <v>640000</v>
      </c>
      <c r="G4" s="12" t="n">
        <f>D4/$B$15</f>
        <v>0.320213475650434</v>
      </c>
      <c r="H4" s="15" t="s">
        <v>31</v>
      </c>
      <c r="I4" s="5"/>
      <c r="J4" s="13"/>
      <c r="K4" s="13" t="n">
        <v>4</v>
      </c>
      <c r="L4" s="13" t="n">
        <f>K4*D4</f>
        <v>3840</v>
      </c>
      <c r="O4" s="6" t="n">
        <v>1000</v>
      </c>
      <c r="P4" s="19" t="n">
        <v>0.4</v>
      </c>
      <c r="Q4" s="7" t="n">
        <f>O4*P4/0.6</f>
        <v>666.666666666667</v>
      </c>
      <c r="R4" s="82" t="n">
        <v>1100</v>
      </c>
      <c r="S4" s="6" t="n">
        <f>O4*R4</f>
        <v>1100000</v>
      </c>
      <c r="T4" s="11" t="n">
        <f>Q4*R4</f>
        <v>733333.333333334</v>
      </c>
      <c r="U4" s="12" t="n">
        <f>R4/$P$15</f>
        <v>0.350541746335245</v>
      </c>
      <c r="V4" s="15" t="s">
        <v>31</v>
      </c>
      <c r="W4" s="5"/>
      <c r="X4" s="13"/>
      <c r="Y4" s="13" t="n">
        <v>4</v>
      </c>
      <c r="Z4" s="13" t="n">
        <f>Y4*R4</f>
        <v>4400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450</v>
      </c>
      <c r="E5" s="6" t="n">
        <f>A5*D5</f>
        <v>4500000</v>
      </c>
      <c r="F5" s="11" t="n">
        <f>C5*D5</f>
        <v>3000000</v>
      </c>
      <c r="G5" s="12" t="n">
        <f>D5/$B$15</f>
        <v>0.150100066711141</v>
      </c>
      <c r="H5" s="15" t="s">
        <v>32</v>
      </c>
      <c r="I5" s="35" t="s">
        <v>33</v>
      </c>
      <c r="J5" s="13"/>
      <c r="K5" s="13" t="n">
        <f>A5/5000</f>
        <v>2</v>
      </c>
      <c r="L5" s="13" t="n">
        <f>K5*D5</f>
        <v>900</v>
      </c>
      <c r="O5" s="6" t="n">
        <v>10000</v>
      </c>
      <c r="P5" s="19" t="n">
        <v>0.4</v>
      </c>
      <c r="Q5" s="7" t="n">
        <f>O5*P5/0.6</f>
        <v>6666.66666666667</v>
      </c>
      <c r="R5" s="20" t="n">
        <v>450</v>
      </c>
      <c r="S5" s="6" t="n">
        <f>O5*R5</f>
        <v>4500000</v>
      </c>
      <c r="T5" s="11" t="n">
        <f>Q5*R5</f>
        <v>3000000</v>
      </c>
      <c r="U5" s="12" t="n">
        <f>R5/$P$15</f>
        <v>0.1434034416826</v>
      </c>
      <c r="V5" s="15" t="s">
        <v>32</v>
      </c>
      <c r="W5" s="35" t="s">
        <v>33</v>
      </c>
      <c r="X5" s="13"/>
      <c r="Y5" s="13" t="n">
        <f>O5/5000</f>
        <v>2</v>
      </c>
      <c r="Z5" s="13" t="n">
        <f>Y5*R5</f>
        <v>900</v>
      </c>
    </row>
    <row r="6" ht="16.5" customHeight="1">
      <c r="A6" s="6" t="n">
        <v>20000</v>
      </c>
      <c r="B6" s="19" t="n">
        <v>0.4</v>
      </c>
      <c r="C6" s="7" t="n">
        <f>A6*B6/0.6</f>
        <v>13333.3333333333</v>
      </c>
      <c r="D6" s="20" t="n">
        <v>1080</v>
      </c>
      <c r="E6" s="6" t="n">
        <f>A6*D6</f>
        <v>21600000</v>
      </c>
      <c r="F6" s="11" t="n">
        <f>C6*D6</f>
        <v>14400000</v>
      </c>
      <c r="G6" s="12" t="n">
        <f>D6/$B$15</f>
        <v>0.360240160106738</v>
      </c>
      <c r="H6" s="15" t="s">
        <v>34</v>
      </c>
      <c r="I6" s="35" t="s">
        <v>35</v>
      </c>
      <c r="J6" s="13"/>
      <c r="K6" s="13" t="n">
        <f>A6/5000</f>
        <v>4</v>
      </c>
      <c r="L6" s="13" t="n">
        <f>K6*D6</f>
        <v>4320</v>
      </c>
      <c r="O6" s="6" t="n">
        <v>20000</v>
      </c>
      <c r="P6" s="19" t="n">
        <v>0.4</v>
      </c>
      <c r="Q6" s="7" t="n">
        <f>O6*P6/0.6</f>
        <v>13333.3333333333</v>
      </c>
      <c r="R6" s="20" t="n">
        <v>1080</v>
      </c>
      <c r="S6" s="6" t="n">
        <f>O6*R6</f>
        <v>21600000</v>
      </c>
      <c r="T6" s="11" t="n">
        <f>Q6*R6</f>
        <v>14400000</v>
      </c>
      <c r="U6" s="12" t="n">
        <f>R6/$P$15</f>
        <v>0.344168260038241</v>
      </c>
      <c r="V6" s="15" t="s">
        <v>34</v>
      </c>
      <c r="W6" s="35" t="s">
        <v>35</v>
      </c>
      <c r="X6" s="13"/>
      <c r="Y6" s="13" t="n">
        <f>O6/5000</f>
        <v>4</v>
      </c>
      <c r="Z6" s="13" t="n">
        <f>Y6*R6</f>
        <v>4320</v>
      </c>
    </row>
    <row r="7" ht="16.5" customHeight="1">
      <c r="A7" s="6" t="n">
        <v>52000</v>
      </c>
      <c r="B7" s="19" t="n">
        <v>0.4</v>
      </c>
      <c r="C7" s="7" t="n">
        <f>A7*B7/0.6</f>
        <v>34666.6666666667</v>
      </c>
      <c r="D7" s="20" t="n">
        <v>300</v>
      </c>
      <c r="E7" s="6" t="n">
        <f>A7*D7</f>
        <v>15600000</v>
      </c>
      <c r="F7" s="11" t="n">
        <f>C7*D7</f>
        <v>10400000</v>
      </c>
      <c r="G7" s="12" t="n">
        <f>D7/$B$15</f>
        <v>0.100066711140761</v>
      </c>
      <c r="H7" s="15" t="s">
        <v>36</v>
      </c>
      <c r="I7" s="48"/>
      <c r="J7" s="13"/>
      <c r="K7" s="13" t="n">
        <f>A7/5000</f>
        <v>10.4</v>
      </c>
      <c r="L7" s="13" t="n">
        <f>K7*D7</f>
        <v>3120</v>
      </c>
      <c r="O7" s="6" t="n">
        <v>52000</v>
      </c>
      <c r="P7" s="19" t="n">
        <v>0.4</v>
      </c>
      <c r="Q7" s="7" t="n">
        <f>O7*P7/0.6</f>
        <v>34666.6666666667</v>
      </c>
      <c r="R7" s="20" t="n">
        <v>300</v>
      </c>
      <c r="S7" s="6" t="n">
        <f>O7*R7</f>
        <v>15600000</v>
      </c>
      <c r="T7" s="11" t="n">
        <f>Q7*R7</f>
        <v>10400000</v>
      </c>
      <c r="U7" s="12" t="n">
        <f>R7/$P$15</f>
        <v>0.0956022944550669</v>
      </c>
      <c r="V7" s="15" t="s">
        <v>36</v>
      </c>
      <c r="W7" s="48"/>
      <c r="X7" s="13"/>
      <c r="Y7" s="13" t="n">
        <f>O7/5000</f>
        <v>10.4</v>
      </c>
      <c r="Z7" s="13" t="n">
        <f>Y7*R7</f>
        <v>3120</v>
      </c>
    </row>
    <row r="8" ht="16.5" customHeight="1">
      <c r="A8" s="6" t="n">
        <v>80000</v>
      </c>
      <c r="B8" s="19" t="n">
        <v>0.4</v>
      </c>
      <c r="C8" s="7" t="n">
        <f>A8*B8/0.6</f>
        <v>53333.3333333333</v>
      </c>
      <c r="D8" s="20" t="n">
        <v>165</v>
      </c>
      <c r="E8" s="6" t="n">
        <f>A8*D8</f>
        <v>13200000</v>
      </c>
      <c r="F8" s="11" t="n">
        <f>C8*D8</f>
        <v>8799999.99999999</v>
      </c>
      <c r="G8" s="12" t="n">
        <f>D8/$B$15</f>
        <v>0.0550366911274183</v>
      </c>
      <c r="H8" s="21" t="s">
        <v>37</v>
      </c>
      <c r="I8" s="48"/>
      <c r="J8" s="13"/>
      <c r="K8" s="13" t="n">
        <f>A8/5000</f>
        <v>16</v>
      </c>
      <c r="L8" s="13" t="n">
        <f>K8*D8</f>
        <v>2640</v>
      </c>
      <c r="O8" s="6" t="n">
        <v>80000</v>
      </c>
      <c r="P8" s="19" t="n">
        <v>0.4</v>
      </c>
      <c r="Q8" s="7" t="n">
        <f>O8*P8/0.6</f>
        <v>53333.3333333333</v>
      </c>
      <c r="R8" s="20" t="n">
        <v>165</v>
      </c>
      <c r="S8" s="6" t="n">
        <f>O8*R8</f>
        <v>13200000</v>
      </c>
      <c r="T8" s="11" t="n">
        <f>Q8*R8</f>
        <v>8799999.99999999</v>
      </c>
      <c r="U8" s="12" t="n">
        <f>R8/$P$15</f>
        <v>0.0525812619502868</v>
      </c>
      <c r="V8" s="21" t="s">
        <v>37</v>
      </c>
      <c r="W8" s="48"/>
      <c r="X8" s="13"/>
      <c r="Y8" s="13" t="n">
        <f>O8/5000</f>
        <v>16</v>
      </c>
      <c r="Z8" s="13" t="n">
        <f>Y8*R8</f>
        <v>2640</v>
      </c>
    </row>
    <row r="9" ht="16.5" customHeight="1">
      <c r="A9" s="6" t="n">
        <v>200000</v>
      </c>
      <c r="B9" s="19" t="n">
        <v>0.4</v>
      </c>
      <c r="C9" s="7" t="n">
        <f>A9*B9/0.6</f>
        <v>133333.333333333</v>
      </c>
      <c r="D9" s="20" t="n">
        <v>33</v>
      </c>
      <c r="E9" s="6" t="n">
        <f>A9*D9</f>
        <v>6600000</v>
      </c>
      <c r="F9" s="11" t="n">
        <f>C9*D9</f>
        <v>4399999.99999999</v>
      </c>
      <c r="G9" s="12" t="n">
        <f>D9/$B$15</f>
        <v>0.0110073382254837</v>
      </c>
      <c r="H9" s="15" t="s">
        <v>38</v>
      </c>
      <c r="I9" s="48" t="s">
        <v>39</v>
      </c>
      <c r="J9" s="13"/>
      <c r="K9" s="13" t="n">
        <f>A9/5000</f>
        <v>40</v>
      </c>
      <c r="L9" s="13" t="n">
        <f>K9*D9</f>
        <v>1320</v>
      </c>
      <c r="O9" s="6" t="n">
        <v>200000</v>
      </c>
      <c r="P9" s="19" t="n">
        <v>0.4</v>
      </c>
      <c r="Q9" s="7" t="n">
        <f>O9*P9/0.6</f>
        <v>133333.333333333</v>
      </c>
      <c r="R9" s="20" t="n">
        <v>33</v>
      </c>
      <c r="S9" s="6" t="n">
        <f>O9*R9</f>
        <v>6600000</v>
      </c>
      <c r="T9" s="11" t="n">
        <f>Q9*R9</f>
        <v>4399999.99999999</v>
      </c>
      <c r="U9" s="12" t="n">
        <f>R9/$P$15</f>
        <v>0.0105162523900574</v>
      </c>
      <c r="V9" s="15" t="s">
        <v>38</v>
      </c>
      <c r="W9" s="48" t="s">
        <v>39</v>
      </c>
      <c r="X9" s="13"/>
      <c r="Y9" s="13" t="n">
        <f>O9/5000</f>
        <v>40</v>
      </c>
      <c r="Z9" s="13" t="n">
        <f>Y9*R9</f>
        <v>1320</v>
      </c>
    </row>
    <row r="10" ht="16.5" customHeight="1">
      <c r="A10" s="6" t="n">
        <v>500000</v>
      </c>
      <c r="B10" s="19" t="n">
        <v>0.4</v>
      </c>
      <c r="C10" s="7" t="n">
        <f>A10*B10/0.6</f>
        <v>333333.333333333</v>
      </c>
      <c r="D10" s="20" t="n">
        <v>3</v>
      </c>
      <c r="E10" s="6" t="n">
        <f>A10*D10</f>
        <v>1500000</v>
      </c>
      <c r="F10" s="11" t="n">
        <f>C10*D10</f>
        <v>999999.999999999</v>
      </c>
      <c r="G10" s="12" t="n">
        <f>D10/$B$15</f>
        <v>0.00100066711140761</v>
      </c>
      <c r="H10" s="15" t="s">
        <v>40</v>
      </c>
      <c r="I10" s="35" t="s">
        <v>41</v>
      </c>
      <c r="J10" s="13"/>
      <c r="K10" s="13" t="n">
        <f>A10/5000</f>
        <v>100</v>
      </c>
      <c r="L10" s="13" t="n">
        <f>K10*D10</f>
        <v>300</v>
      </c>
      <c r="O10" s="6" t="n">
        <v>500000</v>
      </c>
      <c r="P10" s="19" t="n">
        <v>0.4</v>
      </c>
      <c r="Q10" s="7" t="n">
        <f>O10*P10/0.6</f>
        <v>333333.333333333</v>
      </c>
      <c r="R10" s="20" t="n">
        <v>3</v>
      </c>
      <c r="S10" s="6" t="n">
        <f>O10*R10</f>
        <v>1500000</v>
      </c>
      <c r="T10" s="11" t="n">
        <f>Q10*R10</f>
        <v>999999.999999999</v>
      </c>
      <c r="U10" s="12" t="n">
        <f>R10/$P$15</f>
        <v>9.56022944550669e-4</v>
      </c>
      <c r="V10" s="15" t="s">
        <v>40</v>
      </c>
      <c r="W10" s="35" t="s">
        <v>41</v>
      </c>
      <c r="X10" s="13"/>
      <c r="Y10" s="13" t="n">
        <f>O10/5000</f>
        <v>100</v>
      </c>
      <c r="Z10" s="13" t="n">
        <f>Y10*R10</f>
        <v>300</v>
      </c>
    </row>
    <row r="11" ht="16.5" customHeight="1">
      <c r="A11" s="6" t="n">
        <v>1000000</v>
      </c>
      <c r="B11" s="19" t="n">
        <v>0.4</v>
      </c>
      <c r="C11" s="7" t="n">
        <f>A11*B11/0.6</f>
        <v>666666.666666667</v>
      </c>
      <c r="D11" s="76" t="n">
        <v>2</v>
      </c>
      <c r="E11" s="6" t="n">
        <f>A11*D11</f>
        <v>2000000</v>
      </c>
      <c r="F11" s="11" t="n">
        <f>C11*D11</f>
        <v>1333333.33333333</v>
      </c>
      <c r="G11" s="12" t="n">
        <f>D11/$B$15</f>
        <v>0.00066711140760507</v>
      </c>
      <c r="H11" s="15" t="s">
        <v>42</v>
      </c>
      <c r="I11" s="48"/>
      <c r="J11" s="13" t="s">
        <v>43</v>
      </c>
      <c r="K11" s="13" t="n">
        <f>A11/5000</f>
        <v>200</v>
      </c>
      <c r="L11" s="13" t="n">
        <f>K11*D11</f>
        <v>400</v>
      </c>
      <c r="O11" s="6" t="n">
        <v>1000000</v>
      </c>
      <c r="P11" s="19" t="n">
        <v>0.4</v>
      </c>
      <c r="Q11" s="7" t="n">
        <f>O11*P11/0.6</f>
        <v>666666.666666667</v>
      </c>
      <c r="R11" s="76" t="n">
        <v>2</v>
      </c>
      <c r="S11" s="6" t="n">
        <f>O11*R11</f>
        <v>2000000</v>
      </c>
      <c r="T11" s="11" t="n">
        <f>Q11*R11</f>
        <v>1333333.33333333</v>
      </c>
      <c r="U11" s="12" t="n">
        <f>R11/$P$15</f>
        <v>6.37348629700446e-4</v>
      </c>
      <c r="V11" s="15" t="s">
        <v>42</v>
      </c>
      <c r="W11" s="48"/>
      <c r="X11" s="13" t="s">
        <v>43</v>
      </c>
      <c r="Y11" s="13" t="n">
        <f>O11/5000</f>
        <v>200</v>
      </c>
      <c r="Z11" s="13" t="n">
        <f>Y11*R11</f>
        <v>400</v>
      </c>
    </row>
    <row r="12" ht="16.5" customHeight="1">
      <c r="A12" s="6" t="n">
        <v>2000000</v>
      </c>
      <c r="B12" s="19" t="n">
        <v>0.4</v>
      </c>
      <c r="C12" s="7" t="n">
        <f>A12*B12/0.6</f>
        <v>1333333.33333333</v>
      </c>
      <c r="D12" s="76" t="n">
        <v>2</v>
      </c>
      <c r="E12" s="6" t="n">
        <f>A12*D12</f>
        <v>4000000</v>
      </c>
      <c r="F12" s="11" t="n">
        <f>C12*D12</f>
        <v>2666666.66666666</v>
      </c>
      <c r="G12" s="12" t="n">
        <f>D12/$B$15</f>
        <v>0.00066711140760507</v>
      </c>
      <c r="H12" s="15" t="s">
        <v>44</v>
      </c>
      <c r="I12" s="35" t="s">
        <v>45</v>
      </c>
      <c r="J12" s="13" t="s">
        <v>43</v>
      </c>
      <c r="K12" s="13" t="n">
        <f>A12/5000</f>
        <v>400</v>
      </c>
      <c r="L12" s="13" t="n">
        <f>K12*D12</f>
        <v>800</v>
      </c>
      <c r="O12" s="6" t="n">
        <v>2000000</v>
      </c>
      <c r="P12" s="19" t="n">
        <v>0.4</v>
      </c>
      <c r="Q12" s="7" t="n">
        <f>O12*P12/0.6</f>
        <v>1333333.33333333</v>
      </c>
      <c r="R12" s="76" t="n">
        <v>2</v>
      </c>
      <c r="S12" s="6" t="n">
        <f>O12*R12</f>
        <v>4000000</v>
      </c>
      <c r="T12" s="11" t="n">
        <f>Q12*R12</f>
        <v>2666666.66666666</v>
      </c>
      <c r="U12" s="12" t="n">
        <f>R12/$P$15</f>
        <v>6.37348629700446e-4</v>
      </c>
      <c r="V12" s="15" t="s">
        <v>44</v>
      </c>
      <c r="W12" s="35" t="s">
        <v>45</v>
      </c>
      <c r="X12" s="13" t="s">
        <v>43</v>
      </c>
      <c r="Y12" s="13" t="n">
        <f>O12/5000</f>
        <v>400</v>
      </c>
      <c r="Z12" s="13" t="n">
        <f>Y12*R12</f>
        <v>800</v>
      </c>
    </row>
    <row r="13" ht="16.5" customHeight="1">
      <c r="A13" s="6" t="n">
        <v>5000000</v>
      </c>
      <c r="B13" s="19" t="n">
        <v>0.4</v>
      </c>
      <c r="C13" s="7" t="n">
        <f>A13*B13/0.6</f>
        <v>3333333.33333333</v>
      </c>
      <c r="D13" s="20" t="n">
        <v>3</v>
      </c>
      <c r="E13" s="6" t="n">
        <f>A13*D13</f>
        <v>15000000</v>
      </c>
      <c r="F13" s="11" t="n">
        <f>C13*D13</f>
        <v>9999999.99999999</v>
      </c>
      <c r="G13" s="12" t="n">
        <f>D13/$B$15</f>
        <v>0.00100066711140761</v>
      </c>
      <c r="H13" s="15" t="s">
        <v>46</v>
      </c>
      <c r="I13" s="48" t="s">
        <v>47</v>
      </c>
      <c r="J13" s="13" t="s">
        <v>43</v>
      </c>
      <c r="K13" s="13" t="n">
        <f>A13/5000</f>
        <v>1000</v>
      </c>
      <c r="L13" s="13" t="n">
        <f>K13*D13</f>
        <v>3000</v>
      </c>
      <c r="O13" s="6" t="n">
        <v>5000000</v>
      </c>
      <c r="P13" s="19" t="n">
        <v>0.4</v>
      </c>
      <c r="Q13" s="7" t="n">
        <f>O13*P13/0.6</f>
        <v>3333333.33333333</v>
      </c>
      <c r="R13" s="20" t="n">
        <v>3</v>
      </c>
      <c r="S13" s="6" t="n">
        <f>O13*R13</f>
        <v>15000000</v>
      </c>
      <c r="T13" s="11" t="n">
        <f>Q13*R13</f>
        <v>9999999.99999999</v>
      </c>
      <c r="U13" s="12" t="n">
        <f>R13/$P$15</f>
        <v>9.56022944550669e-4</v>
      </c>
      <c r="V13" s="15" t="s">
        <v>46</v>
      </c>
      <c r="W13" s="48" t="s">
        <v>47</v>
      </c>
      <c r="X13" s="13" t="s">
        <v>43</v>
      </c>
      <c r="Y13" s="13" t="n">
        <f>O13/5000</f>
        <v>1000</v>
      </c>
      <c r="Z13" s="13" t="n">
        <f>Y13*R13</f>
        <v>3000</v>
      </c>
    </row>
    <row r="14" ht="16.5" customHeight="1">
      <c r="A14" s="17"/>
      <c r="B14" s="17"/>
      <c r="C14" s="17"/>
      <c r="D14" s="17"/>
      <c r="E14" s="17"/>
      <c r="F14" s="17"/>
      <c r="G14" s="17"/>
      <c r="H14" s="17"/>
      <c r="I14" s="9"/>
      <c r="J14" s="9"/>
      <c r="K14" s="9"/>
      <c r="L14" s="9"/>
      <c r="O14" s="17"/>
      <c r="P14" s="17"/>
      <c r="Q14" s="17"/>
      <c r="R14" s="17"/>
      <c r="S14" s="17"/>
      <c r="T14" s="17"/>
      <c r="U14" s="17"/>
      <c r="V14" s="17"/>
      <c r="W14" s="9"/>
      <c r="X14" s="9"/>
      <c r="Y14" s="9"/>
      <c r="Z14" s="9"/>
    </row>
    <row r="15" ht="16.5" customHeight="1">
      <c r="A15" s="22" t="s">
        <v>21</v>
      </c>
      <c r="B15" s="23" t="n">
        <f>SUM(D4:D13)</f>
        <v>2998</v>
      </c>
      <c r="C15" s="24" t="s">
        <v>22</v>
      </c>
      <c r="D15" s="10"/>
      <c r="E15" s="31" t="n">
        <f>SUM(E4:E13)</f>
        <v>84960000</v>
      </c>
      <c r="F15" s="39" t="s">
        <v>23</v>
      </c>
      <c r="G15" s="40"/>
      <c r="H15" s="41" t="n">
        <f>E15/E17</f>
        <v>1.41694462975317</v>
      </c>
      <c r="I15" s="9"/>
      <c r="J15" s="9"/>
      <c r="K15" s="9"/>
      <c r="L15" s="9"/>
      <c r="O15" s="22" t="s">
        <v>21</v>
      </c>
      <c r="P15" s="23" t="n">
        <f>SUM(R4:R13)</f>
        <v>3138</v>
      </c>
      <c r="Q15" s="24" t="s">
        <v>22</v>
      </c>
      <c r="R15" s="10"/>
      <c r="S15" s="31" t="n">
        <f>SUM(S4:S13)</f>
        <v>85100000</v>
      </c>
      <c r="T15" s="39" t="s">
        <v>23</v>
      </c>
      <c r="U15" s="40"/>
      <c r="V15" s="41" t="n">
        <f>S15/S17</f>
        <v>1.3559592096877</v>
      </c>
      <c r="W15" s="9"/>
      <c r="X15" s="9"/>
      <c r="Y15" s="9"/>
      <c r="Z15" s="9"/>
    </row>
    <row r="16" ht="16.5" customHeight="1">
      <c r="A16" s="22" t="s">
        <v>24</v>
      </c>
      <c r="B16" s="22" t="n">
        <v>20000</v>
      </c>
      <c r="C16" s="24" t="s">
        <v>25</v>
      </c>
      <c r="D16" s="10"/>
      <c r="E16" s="31" t="n">
        <f>SUM(F4:F13)</f>
        <v>56640000</v>
      </c>
      <c r="F16" s="39" t="s">
        <v>26</v>
      </c>
      <c r="G16" s="40"/>
      <c r="H16" s="41" t="n">
        <f>E16/E17</f>
        <v>0.944629753168779</v>
      </c>
      <c r="I16" s="9"/>
      <c r="J16" s="9"/>
      <c r="K16" s="9"/>
      <c r="L16" s="9"/>
      <c r="O16" s="22" t="s">
        <v>24</v>
      </c>
      <c r="P16" s="22" t="n">
        <v>20000</v>
      </c>
      <c r="Q16" s="24" t="s">
        <v>25</v>
      </c>
      <c r="R16" s="10"/>
      <c r="S16" s="31" t="n">
        <f>SUM(T4:T13)</f>
        <v>56733333.3333333</v>
      </c>
      <c r="T16" s="39" t="s">
        <v>26</v>
      </c>
      <c r="U16" s="40"/>
      <c r="V16" s="41" t="n">
        <f>S16/S17</f>
        <v>0.903972806458466</v>
      </c>
      <c r="W16" s="9"/>
      <c r="X16" s="9"/>
      <c r="Y16" s="9"/>
      <c r="Z16" s="9"/>
    </row>
    <row r="17" ht="16.5" customHeight="1">
      <c r="A17" s="15"/>
      <c r="B17" s="15"/>
      <c r="C17" s="24" t="s">
        <v>27</v>
      </c>
      <c r="D17" s="10"/>
      <c r="E17" s="8" t="n">
        <f>B15*B16</f>
        <v>59960000</v>
      </c>
      <c r="F17" s="39" t="s">
        <v>28</v>
      </c>
      <c r="G17" s="40"/>
      <c r="H17" s="41" t="n">
        <f>E17/E16</f>
        <v>1.05861581920904</v>
      </c>
      <c r="I17" s="9"/>
      <c r="J17" s="9"/>
      <c r="K17" s="9"/>
      <c r="L17" s="9"/>
      <c r="O17" s="15"/>
      <c r="P17" s="15"/>
      <c r="Q17" s="24" t="s">
        <v>27</v>
      </c>
      <c r="R17" s="10"/>
      <c r="S17" s="8" t="n">
        <f>P15*P16</f>
        <v>62760000</v>
      </c>
      <c r="T17" s="39" t="s">
        <v>28</v>
      </c>
      <c r="U17" s="40"/>
      <c r="V17" s="41" t="n">
        <f>S17/S16</f>
        <v>1.10622796709753</v>
      </c>
      <c r="W17" s="9"/>
      <c r="X17" s="9"/>
      <c r="Y17" s="9"/>
      <c r="Z17" s="9"/>
    </row>
  </sheetData>
  <mergeCells count="16">
    <mergeCell ref="F15:G15"/>
    <mergeCell ref="F16:G16"/>
    <mergeCell ref="A1:H1"/>
    <mergeCell ref="A2:H2"/>
    <mergeCell ref="C15:D15"/>
    <mergeCell ref="C16:D16"/>
    <mergeCell ref="C17:D17"/>
    <mergeCell ref="F17:G17"/>
    <mergeCell ref="T15:U15"/>
    <mergeCell ref="T16:U16"/>
    <mergeCell ref="O1:V1"/>
    <mergeCell ref="O2:V2"/>
    <mergeCell ref="Q15:R15"/>
    <mergeCell ref="Q16:R16"/>
    <mergeCell ref="Q17:R17"/>
    <mergeCell ref="T17:U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66.8173828125" customWidth="1"/>
  </cols>
  <sheetData>
    <row r="1" ht="16.5" customHeight="1">
      <c r="A1" s="30" t="s">
        <v>50</v>
      </c>
      <c r="B1" s="27"/>
      <c r="C1" s="27"/>
      <c r="D1" s="27"/>
      <c r="E1" s="27"/>
      <c r="F1" s="27"/>
      <c r="G1" s="27"/>
      <c r="H1" s="28"/>
      <c r="R1" s="30" t="s">
        <v>50</v>
      </c>
      <c r="S1" s="27"/>
      <c r="T1" s="27"/>
      <c r="U1" s="27"/>
      <c r="V1" s="27"/>
      <c r="W1" s="27"/>
      <c r="X1" s="27"/>
      <c r="Y1" s="28"/>
    </row>
    <row r="2" ht="16.5" customHeight="1">
      <c r="A2" s="15" t="s">
        <v>51</v>
      </c>
      <c r="B2" s="10"/>
      <c r="C2" s="10"/>
      <c r="D2" s="10"/>
      <c r="E2" s="10"/>
      <c r="F2" s="10"/>
      <c r="G2" s="10"/>
      <c r="H2" s="10"/>
      <c r="R2" s="15" t="s">
        <v>51</v>
      </c>
      <c r="S2" s="10"/>
      <c r="T2" s="10"/>
      <c r="U2" s="10"/>
      <c r="V2" s="10"/>
      <c r="W2" s="10"/>
      <c r="X2" s="10"/>
      <c r="Y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J3" s="9" t="s">
        <v>12</v>
      </c>
      <c r="K3" s="46"/>
      <c r="L3" s="32"/>
      <c r="R3" s="17" t="s">
        <v>2</v>
      </c>
      <c r="S3" s="15" t="s">
        <v>3</v>
      </c>
      <c r="T3" s="18" t="s">
        <v>4</v>
      </c>
      <c r="U3" s="20" t="s">
        <v>5</v>
      </c>
      <c r="V3" s="17" t="s">
        <v>6</v>
      </c>
      <c r="W3" s="15" t="s">
        <v>7</v>
      </c>
      <c r="X3" s="15" t="s">
        <v>8</v>
      </c>
      <c r="Y3" s="17" t="s">
        <v>9</v>
      </c>
      <c r="AA3" s="9" t="s">
        <v>12</v>
      </c>
      <c r="AB3" s="46"/>
      <c r="AC3" s="32"/>
    </row>
    <row r="4" ht="16.5" customHeight="1">
      <c r="A4" s="17" t="n">
        <v>10000</v>
      </c>
      <c r="B4" s="19" t="n">
        <v>0.4</v>
      </c>
      <c r="C4" s="7" t="n">
        <f>A4*B4/0.6</f>
        <v>6666.66666666667</v>
      </c>
      <c r="D4" s="36" t="n">
        <v>200</v>
      </c>
      <c r="E4" s="6" t="n">
        <f>A4*D4</f>
        <v>2000000</v>
      </c>
      <c r="F4" s="11" t="n">
        <f>C4*D4</f>
        <v>1333333.33333333</v>
      </c>
      <c r="G4" s="12" t="n">
        <f>D4/$B$15</f>
        <v>0.366300366300366</v>
      </c>
      <c r="H4" s="25" t="s">
        <v>52</v>
      </c>
      <c r="I4" s="13"/>
      <c r="J4" s="13" t="n">
        <f>A4/5000</f>
        <v>2</v>
      </c>
      <c r="K4" s="13" t="n">
        <f>J4*D4</f>
        <v>400</v>
      </c>
      <c r="O4" s="46"/>
      <c r="R4" s="17" t="n">
        <v>10000</v>
      </c>
      <c r="S4" s="19" t="n">
        <v>0.4</v>
      </c>
      <c r="T4" s="7" t="n">
        <f>R4*S4/0.6</f>
        <v>6666.66666666667</v>
      </c>
      <c r="U4" s="84" t="n">
        <v>238</v>
      </c>
      <c r="V4" s="6" t="n">
        <f>R4*U4</f>
        <v>2380000</v>
      </c>
      <c r="W4" s="11" t="n">
        <f>T4*U4</f>
        <v>1586666.66666667</v>
      </c>
      <c r="X4" s="12" t="n">
        <f>U4/$S$15</f>
        <v>0.407534246575343</v>
      </c>
      <c r="Y4" s="25" t="s">
        <v>52</v>
      </c>
      <c r="Z4" s="13"/>
      <c r="AA4" s="13" t="n">
        <f>R4/5000</f>
        <v>2</v>
      </c>
      <c r="AB4" s="13" t="n">
        <f>AA4*U4</f>
        <v>476</v>
      </c>
      <c r="AF4" s="46"/>
    </row>
    <row r="5" ht="16.5" customHeight="1">
      <c r="A5" s="17" t="n">
        <v>30000</v>
      </c>
      <c r="B5" s="19" t="n">
        <v>0.4</v>
      </c>
      <c r="C5" s="7" t="n">
        <f>A5*B5/0.6</f>
        <v>20000</v>
      </c>
      <c r="D5" s="36" t="n">
        <v>100</v>
      </c>
      <c r="E5" s="6" t="n">
        <f>A5*D5</f>
        <v>3000000</v>
      </c>
      <c r="F5" s="11" t="n">
        <f>C5*D5</f>
        <v>2000000</v>
      </c>
      <c r="G5" s="12" t="n">
        <f>D5/$B$15</f>
        <v>0.183150183150183</v>
      </c>
      <c r="H5" s="25" t="s">
        <v>53</v>
      </c>
      <c r="I5" s="13"/>
      <c r="J5" s="13" t="n">
        <f>A5/5000</f>
        <v>6</v>
      </c>
      <c r="K5" s="13" t="n">
        <f>J5*D5</f>
        <v>600</v>
      </c>
      <c r="O5" s="46"/>
      <c r="R5" s="17" t="n">
        <v>30000</v>
      </c>
      <c r="S5" s="19" t="n">
        <v>0.4</v>
      </c>
      <c r="T5" s="7" t="n">
        <f>R5*S5/0.6</f>
        <v>20000</v>
      </c>
      <c r="U5" s="36" t="n">
        <v>100</v>
      </c>
      <c r="V5" s="6" t="n">
        <f>R5*U5</f>
        <v>3000000</v>
      </c>
      <c r="W5" s="11" t="n">
        <f>T5*U5</f>
        <v>2000000</v>
      </c>
      <c r="X5" s="12" t="n">
        <f>U5/$S$15</f>
        <v>0.171232876712329</v>
      </c>
      <c r="Y5" s="25" t="s">
        <v>53</v>
      </c>
      <c r="Z5" s="13"/>
      <c r="AA5" s="13" t="n">
        <f>R5/5000</f>
        <v>6</v>
      </c>
      <c r="AB5" s="13" t="n">
        <f>AA5*U5</f>
        <v>600</v>
      </c>
      <c r="AF5" s="46"/>
    </row>
    <row r="6" ht="16.5" customHeight="1">
      <c r="A6" s="17" t="n">
        <v>52000</v>
      </c>
      <c r="B6" s="19" t="n">
        <v>0.4</v>
      </c>
      <c r="C6" s="7" t="n">
        <f>A6*B6/0.6</f>
        <v>34666.6666666667</v>
      </c>
      <c r="D6" s="36" t="n">
        <v>100</v>
      </c>
      <c r="E6" s="6" t="n">
        <f>A6*D6</f>
        <v>5200000</v>
      </c>
      <c r="F6" s="11" t="n">
        <f>C6*D6</f>
        <v>3466666.66666667</v>
      </c>
      <c r="G6" s="12" t="n">
        <f>D6/$B$15</f>
        <v>0.183150183150183</v>
      </c>
      <c r="H6" s="25" t="s">
        <v>54</v>
      </c>
      <c r="I6" s="13"/>
      <c r="J6" s="13" t="n">
        <f>A6/5000</f>
        <v>10.4</v>
      </c>
      <c r="K6" s="13" t="n">
        <f>J6*D6</f>
        <v>1040</v>
      </c>
      <c r="O6" s="46"/>
      <c r="R6" s="17" t="n">
        <v>52000</v>
      </c>
      <c r="S6" s="19" t="n">
        <v>0.4</v>
      </c>
      <c r="T6" s="7" t="n">
        <f>R6*S6/0.6</f>
        <v>34666.6666666667</v>
      </c>
      <c r="U6" s="36" t="n">
        <v>100</v>
      </c>
      <c r="V6" s="6" t="n">
        <f>R6*U6</f>
        <v>5200000</v>
      </c>
      <c r="W6" s="11" t="n">
        <f>T6*U6</f>
        <v>3466666.66666667</v>
      </c>
      <c r="X6" s="12" t="n">
        <f>U6/$S$15</f>
        <v>0.171232876712329</v>
      </c>
      <c r="Y6" s="25" t="s">
        <v>54</v>
      </c>
      <c r="Z6" s="13"/>
      <c r="AA6" s="13" t="n">
        <f>R6/5000</f>
        <v>10.4</v>
      </c>
      <c r="AB6" s="13" t="n">
        <f>AA6*U6</f>
        <v>1040</v>
      </c>
      <c r="AF6" s="46"/>
    </row>
    <row r="7" ht="29.25" customHeight="1">
      <c r="A7" s="17" t="n">
        <v>60000</v>
      </c>
      <c r="B7" s="19" t="n">
        <v>0.4</v>
      </c>
      <c r="C7" s="7" t="n">
        <f>A7*B7/0.6</f>
        <v>40000</v>
      </c>
      <c r="D7" s="36" t="n">
        <v>40</v>
      </c>
      <c r="E7" s="6" t="n">
        <f>A7*D7</f>
        <v>2400000</v>
      </c>
      <c r="F7" s="11" t="n">
        <f>C7*D7</f>
        <v>1600000</v>
      </c>
      <c r="G7" s="12" t="n">
        <f>D7/$B$15</f>
        <v>0.0732600732600733</v>
      </c>
      <c r="H7" s="25" t="s">
        <v>55</v>
      </c>
      <c r="I7" s="13"/>
      <c r="J7" s="13" t="n">
        <f>A7/5000</f>
        <v>12</v>
      </c>
      <c r="K7" s="13" t="n">
        <f>J7*D7</f>
        <v>480</v>
      </c>
      <c r="O7" s="46"/>
      <c r="R7" s="17" t="n">
        <v>60000</v>
      </c>
      <c r="S7" s="19" t="n">
        <v>0.4</v>
      </c>
      <c r="T7" s="7" t="n">
        <f>R7*S7/0.6</f>
        <v>40000</v>
      </c>
      <c r="U7" s="36" t="n">
        <v>40</v>
      </c>
      <c r="V7" s="6" t="n">
        <f>R7*U7</f>
        <v>2400000</v>
      </c>
      <c r="W7" s="11" t="n">
        <f>T7*U7</f>
        <v>1600000</v>
      </c>
      <c r="X7" s="12" t="n">
        <f>U7/$S$15</f>
        <v>0.0684931506849315</v>
      </c>
      <c r="Y7" s="25" t="s">
        <v>55</v>
      </c>
      <c r="Z7" s="13"/>
      <c r="AA7" s="13" t="n">
        <f>R7/5000</f>
        <v>12</v>
      </c>
      <c r="AB7" s="13" t="n">
        <f>AA7*U7</f>
        <v>480</v>
      </c>
      <c r="AF7" s="46"/>
    </row>
    <row r="8" ht="16.5" customHeight="1">
      <c r="A8" s="17" t="n">
        <v>100000</v>
      </c>
      <c r="B8" s="19" t="n">
        <v>0.4</v>
      </c>
      <c r="C8" s="7" t="n">
        <f>A8*B8/0.6</f>
        <v>66666.6666666667</v>
      </c>
      <c r="D8" s="36" t="n">
        <v>40</v>
      </c>
      <c r="E8" s="6" t="n">
        <f>A8*D8</f>
        <v>4000000</v>
      </c>
      <c r="F8" s="11" t="n">
        <f>C8*D8</f>
        <v>2666666.66666667</v>
      </c>
      <c r="G8" s="12" t="n">
        <f>D8/$B$15</f>
        <v>0.0732600732600733</v>
      </c>
      <c r="H8" s="25" t="s">
        <v>56</v>
      </c>
      <c r="I8" s="13"/>
      <c r="J8" s="13" t="n">
        <f>A8/5000</f>
        <v>20</v>
      </c>
      <c r="K8" s="13" t="n">
        <f>J8*D8</f>
        <v>800</v>
      </c>
      <c r="O8" s="46"/>
      <c r="R8" s="17" t="n">
        <v>100000</v>
      </c>
      <c r="S8" s="19" t="n">
        <v>0.4</v>
      </c>
      <c r="T8" s="7" t="n">
        <f>R8*S8/0.6</f>
        <v>66666.6666666667</v>
      </c>
      <c r="U8" s="36" t="n">
        <v>40</v>
      </c>
      <c r="V8" s="6" t="n">
        <f>R8*U8</f>
        <v>4000000</v>
      </c>
      <c r="W8" s="11" t="n">
        <f>T8*U8</f>
        <v>2666666.66666667</v>
      </c>
      <c r="X8" s="12" t="n">
        <f>U8/$S$15</f>
        <v>0.0684931506849315</v>
      </c>
      <c r="Y8" s="25" t="s">
        <v>56</v>
      </c>
      <c r="Z8" s="13"/>
      <c r="AA8" s="13" t="n">
        <f>R8/5000</f>
        <v>20</v>
      </c>
      <c r="AB8" s="13" t="n">
        <f>AA8*U8</f>
        <v>800</v>
      </c>
      <c r="AF8" s="46"/>
    </row>
    <row r="9" ht="16.5" customHeight="1">
      <c r="A9" s="17" t="n">
        <v>100000</v>
      </c>
      <c r="B9" s="19" t="n">
        <v>0.4</v>
      </c>
      <c r="C9" s="7" t="n">
        <f>A9*B9/0.6</f>
        <v>66666.6666666667</v>
      </c>
      <c r="D9" s="36" t="n">
        <v>40</v>
      </c>
      <c r="E9" s="6" t="n">
        <f>A9*D9</f>
        <v>4000000</v>
      </c>
      <c r="F9" s="11" t="n">
        <f>C9*D9</f>
        <v>2666666.66666667</v>
      </c>
      <c r="G9" s="12" t="n">
        <f>D9/$B$15</f>
        <v>0.0732600732600733</v>
      </c>
      <c r="H9" s="25" t="s">
        <v>57</v>
      </c>
      <c r="I9" s="13"/>
      <c r="J9" s="13" t="n">
        <f>A9/5000</f>
        <v>20</v>
      </c>
      <c r="K9" s="13" t="n">
        <f>J9*D9</f>
        <v>800</v>
      </c>
      <c r="O9" s="46"/>
      <c r="R9" s="17" t="n">
        <v>100000</v>
      </c>
      <c r="S9" s="19" t="n">
        <v>0.4</v>
      </c>
      <c r="T9" s="7" t="n">
        <f>R9*S9/0.6</f>
        <v>66666.6666666667</v>
      </c>
      <c r="U9" s="36" t="n">
        <v>40</v>
      </c>
      <c r="V9" s="6" t="n">
        <f>R9*U9</f>
        <v>4000000</v>
      </c>
      <c r="W9" s="11" t="n">
        <f>T9*U9</f>
        <v>2666666.66666667</v>
      </c>
      <c r="X9" s="12" t="n">
        <f>U9/$S$15</f>
        <v>0.0684931506849315</v>
      </c>
      <c r="Y9" s="25" t="s">
        <v>57</v>
      </c>
      <c r="Z9" s="13"/>
      <c r="AA9" s="13" t="n">
        <f>R9/5000</f>
        <v>20</v>
      </c>
      <c r="AB9" s="13" t="n">
        <f>AA9*U9</f>
        <v>800</v>
      </c>
      <c r="AF9" s="46"/>
    </row>
    <row r="10" ht="16.5" customHeight="1">
      <c r="A10" s="17" t="n">
        <v>300000</v>
      </c>
      <c r="B10" s="19" t="n">
        <v>0.4</v>
      </c>
      <c r="C10" s="7" t="n">
        <f>A10*B10/0.6</f>
        <v>200000</v>
      </c>
      <c r="D10" s="36" t="n">
        <v>12</v>
      </c>
      <c r="E10" s="6" t="n">
        <f>A10*D10</f>
        <v>3600000</v>
      </c>
      <c r="F10" s="11" t="n">
        <f>C10*D10</f>
        <v>2400000</v>
      </c>
      <c r="G10" s="12" t="n">
        <f>D10/$B$15</f>
        <v>0.021978021978022</v>
      </c>
      <c r="H10" s="25" t="s">
        <v>58</v>
      </c>
      <c r="I10" s="13"/>
      <c r="J10" s="13" t="n">
        <f>A10/5000</f>
        <v>60</v>
      </c>
      <c r="K10" s="13" t="n">
        <f>J10*D10</f>
        <v>720</v>
      </c>
      <c r="O10" s="46"/>
      <c r="R10" s="17" t="n">
        <v>300000</v>
      </c>
      <c r="S10" s="19" t="n">
        <v>0.4</v>
      </c>
      <c r="T10" s="7" t="n">
        <f>R10*S10/0.6</f>
        <v>200000</v>
      </c>
      <c r="U10" s="36" t="n">
        <v>12</v>
      </c>
      <c r="V10" s="6" t="n">
        <f>R10*U10</f>
        <v>3600000</v>
      </c>
      <c r="W10" s="11" t="n">
        <f>T10*U10</f>
        <v>2400000</v>
      </c>
      <c r="X10" s="12" t="n">
        <f>U10/$S$15</f>
        <v>0.0205479452054795</v>
      </c>
      <c r="Y10" s="25" t="s">
        <v>58</v>
      </c>
      <c r="Z10" s="13"/>
      <c r="AA10" s="13" t="n">
        <f>R10/5000</f>
        <v>60</v>
      </c>
      <c r="AB10" s="13" t="n">
        <f>AA10*U10</f>
        <v>720</v>
      </c>
      <c r="AF10" s="46"/>
    </row>
    <row r="11" ht="43.5" customHeight="1">
      <c r="A11" s="17" t="n">
        <v>600000</v>
      </c>
      <c r="B11" s="19" t="n">
        <v>0.4</v>
      </c>
      <c r="C11" s="7" t="n">
        <f>A11*B11/0.6</f>
        <v>400000</v>
      </c>
      <c r="D11" s="36" t="n">
        <v>8</v>
      </c>
      <c r="E11" s="6" t="n">
        <f>A11*D11</f>
        <v>4800000</v>
      </c>
      <c r="F11" s="11" t="n">
        <f>C11*D11</f>
        <v>3200000</v>
      </c>
      <c r="G11" s="12" t="n">
        <f>D11/$B$15</f>
        <v>0.0146520146520147</v>
      </c>
      <c r="H11" s="25" t="s">
        <v>59</v>
      </c>
      <c r="I11" s="13"/>
      <c r="J11" s="13" t="n">
        <f>A11/5000</f>
        <v>120</v>
      </c>
      <c r="K11" s="13" t="n">
        <f>J11*D11</f>
        <v>960</v>
      </c>
      <c r="O11" s="46"/>
      <c r="R11" s="17" t="n">
        <v>600000</v>
      </c>
      <c r="S11" s="19" t="n">
        <v>0.4</v>
      </c>
      <c r="T11" s="7" t="n">
        <f>R11*S11/0.6</f>
        <v>400000</v>
      </c>
      <c r="U11" s="36" t="n">
        <v>8</v>
      </c>
      <c r="V11" s="6" t="n">
        <f>R11*U11</f>
        <v>4800000</v>
      </c>
      <c r="W11" s="11" t="n">
        <f>T11*U11</f>
        <v>3200000</v>
      </c>
      <c r="X11" s="12" t="n">
        <f>U11/$S$15</f>
        <v>0.0136986301369863</v>
      </c>
      <c r="Y11" s="25" t="s">
        <v>59</v>
      </c>
      <c r="Z11" s="13"/>
      <c r="AA11" s="13" t="n">
        <f>R11/5000</f>
        <v>120</v>
      </c>
      <c r="AB11" s="13" t="n">
        <f>AA11*U11</f>
        <v>960</v>
      </c>
      <c r="AF11" s="46"/>
    </row>
    <row r="12" ht="16.5" customHeight="1">
      <c r="A12" s="54" t="n">
        <v>1234000</v>
      </c>
      <c r="B12" s="19" t="n">
        <v>0.4</v>
      </c>
      <c r="C12" s="7" t="n">
        <f>A12*B12/0.6</f>
        <v>822666.666666667</v>
      </c>
      <c r="D12" s="36" t="n">
        <v>4</v>
      </c>
      <c r="E12" s="6" t="n">
        <f>A12*D12</f>
        <v>4936000</v>
      </c>
      <c r="F12" s="11" t="n">
        <f>C12*D12</f>
        <v>3290666.66666667</v>
      </c>
      <c r="G12" s="12" t="n">
        <f>D12/$B$15</f>
        <v>0.00732600732600733</v>
      </c>
      <c r="H12" s="25" t="s">
        <v>60</v>
      </c>
      <c r="I12" s="13" t="s">
        <v>61</v>
      </c>
      <c r="J12" s="13" t="n">
        <f>A12/5000</f>
        <v>246.8</v>
      </c>
      <c r="K12" s="13" t="n">
        <f>J12*D12</f>
        <v>987.2</v>
      </c>
      <c r="O12" s="46"/>
      <c r="R12" s="54" t="n">
        <v>1234000</v>
      </c>
      <c r="S12" s="19" t="n">
        <v>0.4</v>
      </c>
      <c r="T12" s="7" t="n">
        <f>R12*S12/0.6</f>
        <v>822666.666666667</v>
      </c>
      <c r="U12" s="36" t="n">
        <v>4</v>
      </c>
      <c r="V12" s="6" t="n">
        <f>R12*U12</f>
        <v>4936000</v>
      </c>
      <c r="W12" s="11" t="n">
        <f>T12*U12</f>
        <v>3290666.66666667</v>
      </c>
      <c r="X12" s="12" t="n">
        <f>U12/$S$15</f>
        <v>0.00684931506849315</v>
      </c>
      <c r="Y12" s="25" t="s">
        <v>60</v>
      </c>
      <c r="Z12" s="13" t="s">
        <v>61</v>
      </c>
      <c r="AA12" s="13" t="n">
        <f>R12/5000</f>
        <v>246.8</v>
      </c>
      <c r="AB12" s="13" t="n">
        <f>AA12*U12</f>
        <v>987.2</v>
      </c>
      <c r="AF12" s="46"/>
    </row>
    <row r="13" ht="16.5" customHeight="1">
      <c r="A13" s="54" t="n">
        <v>3344000</v>
      </c>
      <c r="B13" s="19" t="n">
        <v>0.4</v>
      </c>
      <c r="C13" s="7" t="n">
        <f>A13*B13/0.6</f>
        <v>2229333.33333333</v>
      </c>
      <c r="D13" s="36" t="n">
        <v>2</v>
      </c>
      <c r="E13" s="6" t="n">
        <f>A13*D13</f>
        <v>6688000</v>
      </c>
      <c r="F13" s="11" t="n">
        <f>C13*D13</f>
        <v>4458666.66666666</v>
      </c>
      <c r="G13" s="12" t="n">
        <f>D13/$B$15</f>
        <v>0.00366300366300366</v>
      </c>
      <c r="H13" s="44" t="s">
        <v>62</v>
      </c>
      <c r="I13" s="13" t="s">
        <v>61</v>
      </c>
      <c r="J13" s="13" t="n">
        <f>A13/5000</f>
        <v>668.8</v>
      </c>
      <c r="K13" s="13" t="n">
        <f>J13*D13</f>
        <v>1337.6</v>
      </c>
      <c r="R13" s="54" t="n">
        <v>3344000</v>
      </c>
      <c r="S13" s="19" t="n">
        <v>0.4</v>
      </c>
      <c r="T13" s="7" t="n">
        <f>R13*S13/0.6</f>
        <v>2229333.33333333</v>
      </c>
      <c r="U13" s="36" t="n">
        <v>2</v>
      </c>
      <c r="V13" s="6" t="n">
        <f>R13*U13</f>
        <v>6688000</v>
      </c>
      <c r="W13" s="11" t="n">
        <f>T13*U13</f>
        <v>4458666.66666666</v>
      </c>
      <c r="X13" s="12" t="n">
        <f>U13/$S$15</f>
        <v>0.00342465753424658</v>
      </c>
      <c r="Y13" s="44" t="s">
        <v>62</v>
      </c>
      <c r="Z13" s="13" t="s">
        <v>61</v>
      </c>
      <c r="AA13" s="13" t="n">
        <f>R13/5000</f>
        <v>668.8</v>
      </c>
      <c r="AB13" s="13" t="n">
        <f>AA13*U13</f>
        <v>1337.6</v>
      </c>
    </row>
    <row r="14" ht="16.5" customHeight="1">
      <c r="A14" s="17"/>
      <c r="B14" s="17"/>
      <c r="C14" s="17"/>
      <c r="D14" s="17"/>
      <c r="E14" s="17"/>
      <c r="F14" s="17"/>
      <c r="G14" s="17"/>
      <c r="H14" s="17"/>
      <c r="R14" s="17"/>
      <c r="S14" s="17"/>
      <c r="T14" s="17"/>
      <c r="U14" s="17"/>
      <c r="V14" s="17"/>
      <c r="W14" s="17"/>
      <c r="X14" s="17"/>
      <c r="Y14" s="17"/>
    </row>
    <row r="15" ht="16.5" customHeight="1">
      <c r="A15" s="22" t="s">
        <v>21</v>
      </c>
      <c r="B15" s="23" t="n">
        <f>SUM(D4:D13)</f>
        <v>546</v>
      </c>
      <c r="C15" s="24" t="s">
        <v>22</v>
      </c>
      <c r="D15" s="10"/>
      <c r="E15" s="31" t="n">
        <f>SUM(E4:E13)</f>
        <v>40624000</v>
      </c>
      <c r="F15" s="39" t="s">
        <v>23</v>
      </c>
      <c r="G15" s="40"/>
      <c r="H15" s="41" t="n">
        <f>E15/E17</f>
        <v>1.43082558467174</v>
      </c>
      <c r="R15" s="22" t="s">
        <v>21</v>
      </c>
      <c r="S15" s="23" t="n">
        <f>SUM(U4:U13)</f>
        <v>584</v>
      </c>
      <c r="T15" s="24" t="s">
        <v>22</v>
      </c>
      <c r="U15" s="10"/>
      <c r="V15" s="31" t="n">
        <f>SUM(V4:V13)</f>
        <v>41004000</v>
      </c>
      <c r="W15" s="39" t="s">
        <v>23</v>
      </c>
      <c r="X15" s="40"/>
      <c r="Y15" s="41" t="n">
        <f>V15/V17</f>
        <v>1.35023709167545</v>
      </c>
    </row>
    <row r="16" ht="16.5" customHeight="1">
      <c r="A16" s="22" t="s">
        <v>24</v>
      </c>
      <c r="B16" s="22" t="n">
        <v>52000</v>
      </c>
      <c r="C16" s="24" t="s">
        <v>25</v>
      </c>
      <c r="D16" s="10"/>
      <c r="E16" s="31" t="n">
        <f>SUM(F4:F13)</f>
        <v>27082666.6666667</v>
      </c>
      <c r="F16" s="39" t="s">
        <v>26</v>
      </c>
      <c r="G16" s="40"/>
      <c r="H16" s="41" t="n">
        <f>E16/E17</f>
        <v>0.953883723114494</v>
      </c>
      <c r="R16" s="22" t="s">
        <v>24</v>
      </c>
      <c r="S16" s="22" t="n">
        <v>52000</v>
      </c>
      <c r="T16" s="24" t="s">
        <v>25</v>
      </c>
      <c r="U16" s="10"/>
      <c r="V16" s="31" t="n">
        <f>SUM(W4:W13)</f>
        <v>27336000</v>
      </c>
      <c r="W16" s="39" t="s">
        <v>26</v>
      </c>
      <c r="X16" s="40"/>
      <c r="Y16" s="41" t="n">
        <f>V16/V17</f>
        <v>0.900158061116965</v>
      </c>
    </row>
    <row r="17" ht="16.5" customHeight="1">
      <c r="A17" s="15"/>
      <c r="B17" s="15"/>
      <c r="C17" s="24" t="s">
        <v>27</v>
      </c>
      <c r="D17" s="10"/>
      <c r="E17" s="24" t="n">
        <f>B15*B16</f>
        <v>28392000</v>
      </c>
      <c r="F17" s="39" t="s">
        <v>28</v>
      </c>
      <c r="G17" s="40"/>
      <c r="H17" s="41" t="n">
        <f>E17/E16</f>
        <v>1.04834580543521</v>
      </c>
      <c r="R17" s="15"/>
      <c r="S17" s="15"/>
      <c r="T17" s="24" t="s">
        <v>27</v>
      </c>
      <c r="U17" s="10"/>
      <c r="V17" s="24" t="n">
        <f>S15*S16</f>
        <v>30368000</v>
      </c>
      <c r="W17" s="39" t="s">
        <v>28</v>
      </c>
      <c r="X17" s="40"/>
      <c r="Y17" s="41" t="n">
        <f>V17/V16</f>
        <v>1.11091600819432</v>
      </c>
    </row>
    <row r="18" ht="16.5" customHeight="1">
      <c r="A18" s="34" t="s">
        <v>63</v>
      </c>
      <c r="H18" s="46" t="n">
        <f>SUM(E4:E11)/(SUM(D4:D11)*B16)</f>
        <v>1.03276353276353</v>
      </c>
      <c r="R18" s="34" t="s">
        <v>63</v>
      </c>
      <c r="Y18" s="46" t="n">
        <f>SUM(V4:V11)/(SUM(U4:U11)*S16)</f>
        <v>0.977508650519031</v>
      </c>
    </row>
    <row r="20" ht="16.5" customHeight="1">
      <c r="A20" s="30" t="s">
        <v>50</v>
      </c>
      <c r="B20" s="27"/>
      <c r="C20" s="27"/>
      <c r="D20" s="27"/>
      <c r="E20" s="27"/>
      <c r="F20" s="27"/>
      <c r="G20" s="27"/>
      <c r="H20" s="28"/>
      <c r="R20" s="30" t="s">
        <v>50</v>
      </c>
      <c r="S20" s="27"/>
      <c r="T20" s="27"/>
      <c r="U20" s="27"/>
      <c r="V20" s="27"/>
      <c r="W20" s="27"/>
      <c r="X20" s="27"/>
      <c r="Y20" s="28"/>
    </row>
    <row r="21" ht="16.5" customHeight="1">
      <c r="A21" s="15" t="s">
        <v>64</v>
      </c>
      <c r="B21" s="10"/>
      <c r="C21" s="10"/>
      <c r="D21" s="10"/>
      <c r="E21" s="10"/>
      <c r="F21" s="10"/>
      <c r="G21" s="10"/>
      <c r="H21" s="10"/>
      <c r="R21" s="15" t="s">
        <v>64</v>
      </c>
      <c r="S21" s="10"/>
      <c r="T21" s="10"/>
      <c r="U21" s="10"/>
      <c r="V21" s="10"/>
      <c r="W21" s="10"/>
      <c r="X21" s="10"/>
      <c r="Y21" s="10"/>
    </row>
    <row r="22" ht="16.5" customHeight="1">
      <c r="A22" s="17" t="s">
        <v>2</v>
      </c>
      <c r="B22" s="15" t="s">
        <v>3</v>
      </c>
      <c r="C22" s="18" t="s">
        <v>4</v>
      </c>
      <c r="D22" s="20" t="s">
        <v>5</v>
      </c>
      <c r="E22" s="17" t="s">
        <v>6</v>
      </c>
      <c r="F22" s="15" t="s">
        <v>7</v>
      </c>
      <c r="G22" s="15" t="s">
        <v>8</v>
      </c>
      <c r="H22" s="17" t="s">
        <v>9</v>
      </c>
      <c r="J22" s="9" t="s">
        <v>12</v>
      </c>
      <c r="K22" s="46"/>
      <c r="R22" s="17" t="s">
        <v>2</v>
      </c>
      <c r="S22" s="15" t="s">
        <v>3</v>
      </c>
      <c r="T22" s="18" t="s">
        <v>4</v>
      </c>
      <c r="U22" s="20" t="s">
        <v>5</v>
      </c>
      <c r="V22" s="17" t="s">
        <v>6</v>
      </c>
      <c r="W22" s="15" t="s">
        <v>7</v>
      </c>
      <c r="X22" s="15" t="s">
        <v>8</v>
      </c>
      <c r="Y22" s="17" t="s">
        <v>9</v>
      </c>
      <c r="AA22" s="9" t="s">
        <v>12</v>
      </c>
      <c r="AB22" s="46"/>
    </row>
    <row r="23" ht="16.5" customHeight="1">
      <c r="A23" s="17" t="n">
        <v>20000</v>
      </c>
      <c r="B23" s="19" t="n">
        <v>0.4</v>
      </c>
      <c r="C23" s="7" t="n">
        <f>A23*B23/0.6</f>
        <v>13333.3333333333</v>
      </c>
      <c r="D23" s="36" t="n">
        <v>170</v>
      </c>
      <c r="E23" s="6" t="n">
        <f>A23*D23</f>
        <v>3400000</v>
      </c>
      <c r="F23" s="11" t="n">
        <f>C23*D23</f>
        <v>2266666.66666666</v>
      </c>
      <c r="G23" s="12" t="n">
        <f>D23/$B$35</f>
        <v>0.394431554524362</v>
      </c>
      <c r="H23" s="25" t="s">
        <v>65</v>
      </c>
      <c r="I23" s="13"/>
      <c r="J23" s="13" t="n">
        <f>A23/5000</f>
        <v>4</v>
      </c>
      <c r="K23" s="13" t="n">
        <f>J23*D23</f>
        <v>680</v>
      </c>
      <c r="R23" s="17" t="n">
        <v>20000</v>
      </c>
      <c r="S23" s="19" t="n">
        <v>0.4</v>
      </c>
      <c r="T23" s="7" t="n">
        <f>R23*S23/0.6</f>
        <v>13333.3333333333</v>
      </c>
      <c r="U23" s="84" t="n">
        <v>204</v>
      </c>
      <c r="V23" s="6" t="n">
        <f>R23*U23</f>
        <v>4080000</v>
      </c>
      <c r="W23" s="11" t="n">
        <f>T23*U23</f>
        <v>2719999.99999999</v>
      </c>
      <c r="X23" s="12" t="n">
        <f>U23/$S$35</f>
        <v>0.438709677419355</v>
      </c>
      <c r="Y23" s="25" t="s">
        <v>65</v>
      </c>
      <c r="Z23" s="13"/>
      <c r="AA23" s="13" t="n">
        <f>R23/5000</f>
        <v>4</v>
      </c>
      <c r="AB23" s="13" t="n">
        <f>AA23*U23</f>
        <v>816</v>
      </c>
    </row>
    <row r="24" ht="16.5" customHeight="1">
      <c r="A24" s="17" t="n">
        <v>52000</v>
      </c>
      <c r="B24" s="19" t="n">
        <v>0.4</v>
      </c>
      <c r="C24" s="7" t="n">
        <f>A24*B24/0.6</f>
        <v>34666.6666666667</v>
      </c>
      <c r="D24" s="36" t="n">
        <v>70</v>
      </c>
      <c r="E24" s="6" t="n">
        <f>A24*D24</f>
        <v>3640000</v>
      </c>
      <c r="F24" s="11" t="n">
        <f>C24*D24</f>
        <v>2426666.66666667</v>
      </c>
      <c r="G24" s="12" t="n">
        <f>D24/$B$35</f>
        <v>0.162412993039443</v>
      </c>
      <c r="H24" s="25" t="s">
        <v>54</v>
      </c>
      <c r="I24" s="13"/>
      <c r="J24" s="13" t="n">
        <f>A24/5000</f>
        <v>10.4</v>
      </c>
      <c r="K24" s="13" t="n">
        <f>J24*D24</f>
        <v>728</v>
      </c>
      <c r="R24" s="17" t="n">
        <v>52000</v>
      </c>
      <c r="S24" s="19" t="n">
        <v>0.4</v>
      </c>
      <c r="T24" s="7" t="n">
        <f>R24*S24/0.6</f>
        <v>34666.6666666667</v>
      </c>
      <c r="U24" s="36" t="n">
        <v>70</v>
      </c>
      <c r="V24" s="6" t="n">
        <f>R24*U24</f>
        <v>3640000</v>
      </c>
      <c r="W24" s="11" t="n">
        <f>T24*U24</f>
        <v>2426666.66666667</v>
      </c>
      <c r="X24" s="12" t="n">
        <f>U24/$S$35</f>
        <v>0.150537634408602</v>
      </c>
      <c r="Y24" s="25" t="s">
        <v>54</v>
      </c>
      <c r="Z24" s="13"/>
      <c r="AA24" s="13" t="n">
        <f>R24/5000</f>
        <v>10.4</v>
      </c>
      <c r="AB24" s="13" t="n">
        <f>AA24*U24</f>
        <v>728</v>
      </c>
    </row>
    <row r="25" ht="29.25" customHeight="1">
      <c r="A25" s="17" t="n">
        <v>80000</v>
      </c>
      <c r="B25" s="19" t="n">
        <v>0.4</v>
      </c>
      <c r="C25" s="7" t="n">
        <f>A25*B25/0.6</f>
        <v>53333.3333333333</v>
      </c>
      <c r="D25" s="36" t="n">
        <v>50</v>
      </c>
      <c r="E25" s="6" t="n">
        <f>A25*D25</f>
        <v>4000000</v>
      </c>
      <c r="F25" s="11" t="n">
        <f>C25*D25</f>
        <v>2666666.66666667</v>
      </c>
      <c r="G25" s="12" t="n">
        <f>D25/$B$35</f>
        <v>0.116009280742459</v>
      </c>
      <c r="H25" s="25" t="s">
        <v>66</v>
      </c>
      <c r="I25" s="13"/>
      <c r="J25" s="13" t="n">
        <f>A25/5000</f>
        <v>16</v>
      </c>
      <c r="K25" s="13" t="n">
        <f>J25*D25</f>
        <v>800</v>
      </c>
      <c r="R25" s="17" t="n">
        <v>80000</v>
      </c>
      <c r="S25" s="19" t="n">
        <v>0.4</v>
      </c>
      <c r="T25" s="7" t="n">
        <f>R25*S25/0.6</f>
        <v>53333.3333333333</v>
      </c>
      <c r="U25" s="36" t="n">
        <v>50</v>
      </c>
      <c r="V25" s="6" t="n">
        <f>R25*U25</f>
        <v>4000000</v>
      </c>
      <c r="W25" s="11" t="n">
        <f>T25*U25</f>
        <v>2666666.66666667</v>
      </c>
      <c r="X25" s="12" t="n">
        <f>U25/$S$35</f>
        <v>0.10752688172043</v>
      </c>
      <c r="Y25" s="25" t="s">
        <v>66</v>
      </c>
      <c r="Z25" s="13"/>
      <c r="AA25" s="13" t="n">
        <f>R25/5000</f>
        <v>16</v>
      </c>
      <c r="AB25" s="13" t="n">
        <f>AA25*U25</f>
        <v>800</v>
      </c>
    </row>
    <row r="26" ht="16.5" customHeight="1">
      <c r="A26" s="17" t="n">
        <v>104000</v>
      </c>
      <c r="B26" s="19" t="n">
        <v>0.4</v>
      </c>
      <c r="C26" s="7" t="n">
        <f>A26*B26/0.6</f>
        <v>69333.3333333333</v>
      </c>
      <c r="D26" s="36" t="n">
        <v>50</v>
      </c>
      <c r="E26" s="6" t="n">
        <f>A26*D26</f>
        <v>5200000</v>
      </c>
      <c r="F26" s="11" t="n">
        <f>C26*D26</f>
        <v>3466666.66666667</v>
      </c>
      <c r="G26" s="12" t="n">
        <f>D26/$B$35</f>
        <v>0.116009280742459</v>
      </c>
      <c r="H26" s="25" t="s">
        <v>67</v>
      </c>
      <c r="I26" s="13"/>
      <c r="J26" s="13" t="n">
        <f>A26/5000</f>
        <v>20.8</v>
      </c>
      <c r="K26" s="13" t="n">
        <f>J26*D26</f>
        <v>1040</v>
      </c>
      <c r="R26" s="17" t="n">
        <v>104000</v>
      </c>
      <c r="S26" s="19" t="n">
        <v>0.4</v>
      </c>
      <c r="T26" s="7" t="n">
        <f>R26*S26/0.6</f>
        <v>69333.3333333333</v>
      </c>
      <c r="U26" s="36" t="n">
        <v>50</v>
      </c>
      <c r="V26" s="6" t="n">
        <f>R26*U26</f>
        <v>5200000</v>
      </c>
      <c r="W26" s="11" t="n">
        <f>T26*U26</f>
        <v>3466666.66666667</v>
      </c>
      <c r="X26" s="12" t="n">
        <f>U26/$S$35</f>
        <v>0.10752688172043</v>
      </c>
      <c r="Y26" s="25" t="s">
        <v>67</v>
      </c>
      <c r="Z26" s="13"/>
      <c r="AA26" s="13" t="n">
        <f>R26/5000</f>
        <v>20.8</v>
      </c>
      <c r="AB26" s="13" t="n">
        <f>AA26*U26</f>
        <v>1040</v>
      </c>
    </row>
    <row r="27" ht="16.5" customHeight="1">
      <c r="A27" s="17" t="n">
        <v>150000</v>
      </c>
      <c r="B27" s="19" t="n">
        <v>0.4</v>
      </c>
      <c r="C27" s="7" t="n">
        <f>A27*B27/0.6</f>
        <v>100000</v>
      </c>
      <c r="D27" s="36" t="n">
        <v>10</v>
      </c>
      <c r="E27" s="6" t="n">
        <f>A27*D27</f>
        <v>1500000</v>
      </c>
      <c r="F27" s="11" t="n">
        <f>C27*D27</f>
        <v>1000000</v>
      </c>
      <c r="G27" s="12" t="n">
        <f>D27/$B$35</f>
        <v>0.0232018561484919</v>
      </c>
      <c r="H27" s="25" t="s">
        <v>68</v>
      </c>
      <c r="I27" s="13"/>
      <c r="J27" s="13" t="n">
        <f>A27/5000</f>
        <v>30</v>
      </c>
      <c r="K27" s="13" t="n">
        <f>J27*D27</f>
        <v>300</v>
      </c>
      <c r="R27" s="17" t="n">
        <v>150000</v>
      </c>
      <c r="S27" s="19" t="n">
        <v>0.4</v>
      </c>
      <c r="T27" s="7" t="n">
        <f>R27*S27/0.6</f>
        <v>100000</v>
      </c>
      <c r="U27" s="36" t="n">
        <v>10</v>
      </c>
      <c r="V27" s="6" t="n">
        <f>R27*U27</f>
        <v>1500000</v>
      </c>
      <c r="W27" s="11" t="n">
        <f>T27*U27</f>
        <v>1000000</v>
      </c>
      <c r="X27" s="12" t="n">
        <f>U27/$S$35</f>
        <v>0.021505376344086</v>
      </c>
      <c r="Y27" s="25" t="s">
        <v>68</v>
      </c>
      <c r="Z27" s="13"/>
      <c r="AA27" s="13" t="n">
        <f>R27/5000</f>
        <v>30</v>
      </c>
      <c r="AB27" s="13" t="n">
        <f>AA27*U27</f>
        <v>300</v>
      </c>
    </row>
    <row r="28" ht="16.5" customHeight="1">
      <c r="A28" s="17" t="n">
        <v>300000</v>
      </c>
      <c r="B28" s="19" t="n">
        <v>0.4</v>
      </c>
      <c r="C28" s="7" t="n">
        <f>A28*B28/0.6</f>
        <v>200000</v>
      </c>
      <c r="D28" s="36" t="n">
        <v>19</v>
      </c>
      <c r="E28" s="6" t="n">
        <f>A28*D28</f>
        <v>5700000</v>
      </c>
      <c r="F28" s="11" t="n">
        <f>C28*D28</f>
        <v>3800000</v>
      </c>
      <c r="G28" s="12" t="n">
        <f>D28/$B$35</f>
        <v>0.0440835266821346</v>
      </c>
      <c r="H28" s="25" t="s">
        <v>69</v>
      </c>
      <c r="I28" s="13"/>
      <c r="J28" s="13" t="n">
        <f>A28/5000</f>
        <v>60</v>
      </c>
      <c r="K28" s="13" t="n">
        <f>J28*D28</f>
        <v>1140</v>
      </c>
      <c r="R28" s="17" t="n">
        <v>300000</v>
      </c>
      <c r="S28" s="19" t="n">
        <v>0.4</v>
      </c>
      <c r="T28" s="7" t="n">
        <f>R28*S28/0.6</f>
        <v>200000</v>
      </c>
      <c r="U28" s="36" t="n">
        <v>19</v>
      </c>
      <c r="V28" s="6" t="n">
        <f>R28*U28</f>
        <v>5700000</v>
      </c>
      <c r="W28" s="11" t="n">
        <f>T28*U28</f>
        <v>3800000</v>
      </c>
      <c r="X28" s="12" t="n">
        <f>U28/$S$35</f>
        <v>0.0408602150537634</v>
      </c>
      <c r="Y28" s="25" t="s">
        <v>69</v>
      </c>
      <c r="Z28" s="13"/>
      <c r="AA28" s="13" t="n">
        <f>R28/5000</f>
        <v>60</v>
      </c>
      <c r="AB28" s="13" t="n">
        <f>AA28*U28</f>
        <v>1140</v>
      </c>
    </row>
    <row r="29" ht="16.5" customHeight="1">
      <c r="A29" s="17" t="n">
        <v>300000</v>
      </c>
      <c r="B29" s="19" t="n">
        <v>0.4</v>
      </c>
      <c r="C29" s="7" t="n">
        <f>A29*B29/0.6</f>
        <v>200000</v>
      </c>
      <c r="D29" s="36" t="n">
        <v>19</v>
      </c>
      <c r="E29" s="6" t="n">
        <f>A29*D29</f>
        <v>5700000</v>
      </c>
      <c r="F29" s="11" t="n">
        <f>C29*D29</f>
        <v>3800000</v>
      </c>
      <c r="G29" s="12" t="n">
        <f>D29/$B$35</f>
        <v>0.0440835266821346</v>
      </c>
      <c r="H29" s="25" t="s">
        <v>70</v>
      </c>
      <c r="I29" s="13"/>
      <c r="J29" s="13"/>
      <c r="K29" s="13"/>
      <c r="R29" s="17" t="n">
        <v>300000</v>
      </c>
      <c r="S29" s="19" t="n">
        <v>0.4</v>
      </c>
      <c r="T29" s="7" t="n">
        <f>R29*S29/0.6</f>
        <v>200000</v>
      </c>
      <c r="U29" s="36" t="n">
        <v>19</v>
      </c>
      <c r="V29" s="6" t="n">
        <f>R29*U29</f>
        <v>5700000</v>
      </c>
      <c r="W29" s="11" t="n">
        <f>T29*U29</f>
        <v>3800000</v>
      </c>
      <c r="X29" s="12" t="n">
        <f>U29/$S$35</f>
        <v>0.0408602150537634</v>
      </c>
      <c r="Y29" s="25" t="s">
        <v>70</v>
      </c>
      <c r="Z29" s="13"/>
      <c r="AA29" s="13"/>
      <c r="AB29" s="13"/>
    </row>
    <row r="30" ht="16.5" customHeight="1">
      <c r="A30" s="17" t="n">
        <v>500000</v>
      </c>
      <c r="B30" s="19" t="n">
        <v>0.4</v>
      </c>
      <c r="C30" s="7" t="n">
        <f>A30*B30/0.6</f>
        <v>333333.333333333</v>
      </c>
      <c r="D30" s="36" t="n">
        <v>30</v>
      </c>
      <c r="E30" s="6" t="n">
        <f>A30*D30</f>
        <v>15000000</v>
      </c>
      <c r="F30" s="11" t="n">
        <f>C30*D30</f>
        <v>9999999.99999999</v>
      </c>
      <c r="G30" s="12" t="n">
        <f>D30/$B$35</f>
        <v>0.0696055684454756</v>
      </c>
      <c r="H30" s="25" t="s">
        <v>71</v>
      </c>
      <c r="I30" s="13"/>
      <c r="J30" s="13" t="n">
        <f>A30/5000</f>
        <v>100</v>
      </c>
      <c r="K30" s="13" t="n">
        <f>J30*D30</f>
        <v>3000</v>
      </c>
      <c r="R30" s="17" t="n">
        <v>500000</v>
      </c>
      <c r="S30" s="19" t="n">
        <v>0.4</v>
      </c>
      <c r="T30" s="7" t="n">
        <f>R30*S30/0.6</f>
        <v>333333.333333333</v>
      </c>
      <c r="U30" s="36" t="n">
        <v>30</v>
      </c>
      <c r="V30" s="6" t="n">
        <f>R30*U30</f>
        <v>15000000</v>
      </c>
      <c r="W30" s="11" t="n">
        <f>T30*U30</f>
        <v>9999999.99999999</v>
      </c>
      <c r="X30" s="12" t="n">
        <f>U30/$S$35</f>
        <v>0.0645161290322581</v>
      </c>
      <c r="Y30" s="25" t="s">
        <v>71</v>
      </c>
      <c r="Z30" s="13"/>
      <c r="AA30" s="13" t="n">
        <f>R30/5000</f>
        <v>100</v>
      </c>
      <c r="AB30" s="13" t="n">
        <f>AA30*U30</f>
        <v>3000</v>
      </c>
    </row>
    <row r="31" ht="43.5" customHeight="1">
      <c r="A31" s="17" t="n">
        <v>800000</v>
      </c>
      <c r="B31" s="19" t="n">
        <v>0.4</v>
      </c>
      <c r="C31" s="7" t="n">
        <f>A31*B31/0.6</f>
        <v>533333.333333333</v>
      </c>
      <c r="D31" s="36" t="n">
        <v>8</v>
      </c>
      <c r="E31" s="6" t="n">
        <f>A31*D31</f>
        <v>6400000</v>
      </c>
      <c r="F31" s="11" t="n">
        <f>C31*D31</f>
        <v>4266666.66666666</v>
      </c>
      <c r="G31" s="12" t="n">
        <f>D31/$B$35</f>
        <v>0.0185614849187935</v>
      </c>
      <c r="H31" s="25" t="s">
        <v>72</v>
      </c>
      <c r="I31" s="13"/>
      <c r="J31" s="13" t="n">
        <f>A31/5000</f>
        <v>160</v>
      </c>
      <c r="K31" s="13" t="n">
        <f>J31*D31</f>
        <v>1280</v>
      </c>
      <c r="R31" s="17" t="n">
        <v>800000</v>
      </c>
      <c r="S31" s="19" t="n">
        <v>0.4</v>
      </c>
      <c r="T31" s="7" t="n">
        <f>R31*S31/0.6</f>
        <v>533333.333333333</v>
      </c>
      <c r="U31" s="36" t="n">
        <v>8</v>
      </c>
      <c r="V31" s="6" t="n">
        <f>R31*U31</f>
        <v>6400000</v>
      </c>
      <c r="W31" s="11" t="n">
        <f>T31*U31</f>
        <v>4266666.66666666</v>
      </c>
      <c r="X31" s="12" t="n">
        <f>U31/$S$35</f>
        <v>0.0172043010752688</v>
      </c>
      <c r="Y31" s="25" t="s">
        <v>72</v>
      </c>
      <c r="Z31" s="13"/>
      <c r="AA31" s="13" t="n">
        <f>R31/5000</f>
        <v>160</v>
      </c>
      <c r="AB31" s="13" t="n">
        <f>AA31*U31</f>
        <v>1280</v>
      </c>
    </row>
    <row r="32" ht="16.5" customHeight="1">
      <c r="A32" s="54" t="n">
        <v>1234000</v>
      </c>
      <c r="B32" s="19" t="n">
        <v>0.4</v>
      </c>
      <c r="C32" s="7" t="n">
        <f>A32*B32/0.6</f>
        <v>822666.666666667</v>
      </c>
      <c r="D32" s="36" t="n">
        <v>3</v>
      </c>
      <c r="E32" s="6" t="n">
        <f>A32*D32</f>
        <v>3702000</v>
      </c>
      <c r="F32" s="11" t="n">
        <f>C32*D32</f>
        <v>2468000</v>
      </c>
      <c r="G32" s="12" t="n">
        <f>D32/$B$35</f>
        <v>0.00696055684454756</v>
      </c>
      <c r="H32" s="25" t="s">
        <v>60</v>
      </c>
      <c r="I32" s="13" t="s">
        <v>61</v>
      </c>
      <c r="J32" s="13" t="n">
        <f>A32/5000</f>
        <v>246.8</v>
      </c>
      <c r="K32" s="13" t="n">
        <f>J32*D32</f>
        <v>740.4</v>
      </c>
      <c r="R32" s="54" t="n">
        <v>1234000</v>
      </c>
      <c r="S32" s="19" t="n">
        <v>0.4</v>
      </c>
      <c r="T32" s="7" t="n">
        <f>R32*S32/0.6</f>
        <v>822666.666666667</v>
      </c>
      <c r="U32" s="36" t="n">
        <v>3</v>
      </c>
      <c r="V32" s="6" t="n">
        <f>R32*U32</f>
        <v>3702000</v>
      </c>
      <c r="W32" s="11" t="n">
        <f>T32*U32</f>
        <v>2468000</v>
      </c>
      <c r="X32" s="12" t="n">
        <f>U32/$S$35</f>
        <v>0.00645161290322581</v>
      </c>
      <c r="Y32" s="25" t="s">
        <v>60</v>
      </c>
      <c r="Z32" s="13" t="s">
        <v>61</v>
      </c>
      <c r="AA32" s="13" t="n">
        <f>R32/5000</f>
        <v>246.8</v>
      </c>
      <c r="AB32" s="13" t="n">
        <f>AA32*U32</f>
        <v>740.4</v>
      </c>
    </row>
    <row r="33" ht="16.5" customHeight="1">
      <c r="A33" s="54" t="n">
        <v>5200000</v>
      </c>
      <c r="B33" s="19" t="n">
        <v>0.4</v>
      </c>
      <c r="C33" s="7" t="n">
        <f>A33*B33/0.6</f>
        <v>3466666.66666667</v>
      </c>
      <c r="D33" s="36" t="n">
        <v>2</v>
      </c>
      <c r="E33" s="6" t="n">
        <f>A33*D33</f>
        <v>10400000</v>
      </c>
      <c r="F33" s="11" t="n">
        <f>C33*D33</f>
        <v>6933333.33333334</v>
      </c>
      <c r="G33" s="12" t="n">
        <f>D33/$B$35</f>
        <v>0.00464037122969838</v>
      </c>
      <c r="H33" s="44" t="s">
        <v>73</v>
      </c>
      <c r="I33" s="13" t="s">
        <v>61</v>
      </c>
      <c r="J33" s="13" t="n">
        <f>A33/5000</f>
        <v>1040</v>
      </c>
      <c r="K33" s="13" t="n">
        <f>J33*D33</f>
        <v>2080</v>
      </c>
      <c r="R33" s="54" t="n">
        <v>5200000</v>
      </c>
      <c r="S33" s="19" t="n">
        <v>0.4</v>
      </c>
      <c r="T33" s="7" t="n">
        <f>R33*S33/0.6</f>
        <v>3466666.66666667</v>
      </c>
      <c r="U33" s="36" t="n">
        <v>2</v>
      </c>
      <c r="V33" s="6" t="n">
        <f>R33*U33</f>
        <v>10400000</v>
      </c>
      <c r="W33" s="11" t="n">
        <f>T33*U33</f>
        <v>6933333.33333334</v>
      </c>
      <c r="X33" s="12" t="n">
        <f>U33/$S$35</f>
        <v>0.0043010752688172</v>
      </c>
      <c r="Y33" s="44" t="s">
        <v>73</v>
      </c>
      <c r="Z33" s="13" t="s">
        <v>61</v>
      </c>
      <c r="AA33" s="13" t="n">
        <f>R33/5000</f>
        <v>1040</v>
      </c>
      <c r="AB33" s="13" t="n">
        <f>AA33*U33</f>
        <v>2080</v>
      </c>
    </row>
    <row r="34" ht="16.5" customHeight="1">
      <c r="A34" s="17"/>
      <c r="B34" s="17"/>
      <c r="C34" s="17"/>
      <c r="D34" s="17"/>
      <c r="E34" s="17"/>
      <c r="F34" s="17"/>
      <c r="G34" s="17"/>
      <c r="H34" s="17"/>
      <c r="R34" s="17"/>
      <c r="S34" s="17"/>
      <c r="T34" s="17"/>
      <c r="U34" s="17"/>
      <c r="V34" s="17"/>
      <c r="W34" s="17"/>
      <c r="X34" s="17"/>
      <c r="Y34" s="17"/>
    </row>
    <row r="35" ht="16.5" customHeight="1">
      <c r="A35" s="22" t="s">
        <v>21</v>
      </c>
      <c r="B35" s="23" t="n">
        <f>SUM(D23:D33)</f>
        <v>431</v>
      </c>
      <c r="C35" s="24" t="s">
        <v>22</v>
      </c>
      <c r="D35" s="10"/>
      <c r="E35" s="31" t="n">
        <f>SUM(E23:E33)</f>
        <v>64642000</v>
      </c>
      <c r="F35" s="39" t="s">
        <v>23</v>
      </c>
      <c r="G35" s="40"/>
      <c r="H35" s="41" t="n">
        <f>E35/E37</f>
        <v>1.44212921649117</v>
      </c>
      <c r="R35" s="22" t="s">
        <v>21</v>
      </c>
      <c r="S35" s="23" t="n">
        <f>SUM(U23:U33)</f>
        <v>465</v>
      </c>
      <c r="T35" s="24" t="s">
        <v>22</v>
      </c>
      <c r="U35" s="10"/>
      <c r="V35" s="31" t="n">
        <f>SUM(V23:V33)</f>
        <v>65322000</v>
      </c>
      <c r="W35" s="39" t="s">
        <v>23</v>
      </c>
      <c r="X35" s="40"/>
      <c r="Y35" s="41" t="n">
        <f>V35/V37</f>
        <v>1.35074441687345</v>
      </c>
    </row>
    <row r="36" ht="16.5" customHeight="1">
      <c r="A36" s="22" t="s">
        <v>24</v>
      </c>
      <c r="B36" s="22" t="n">
        <f>52000*2</f>
        <v>104000</v>
      </c>
      <c r="C36" s="24" t="s">
        <v>25</v>
      </c>
      <c r="D36" s="10"/>
      <c r="E36" s="31" t="n">
        <f>SUM(F23:F33)</f>
        <v>43094666.6666667</v>
      </c>
      <c r="F36" s="39" t="s">
        <v>26</v>
      </c>
      <c r="G36" s="40"/>
      <c r="H36" s="41" t="n">
        <f>E36/E37</f>
        <v>0.961419477660778</v>
      </c>
      <c r="R36" s="22" t="s">
        <v>24</v>
      </c>
      <c r="S36" s="22" t="n">
        <f>52000*2</f>
        <v>104000</v>
      </c>
      <c r="T36" s="24" t="s">
        <v>25</v>
      </c>
      <c r="U36" s="10"/>
      <c r="V36" s="31" t="n">
        <f>SUM(W23:W33)</f>
        <v>43548000</v>
      </c>
      <c r="W36" s="39" t="s">
        <v>26</v>
      </c>
      <c r="X36" s="40"/>
      <c r="Y36" s="41" t="n">
        <f>V36/V37</f>
        <v>0.900496277915633</v>
      </c>
    </row>
    <row r="37" ht="16.5" customHeight="1">
      <c r="A37" s="15"/>
      <c r="B37" s="15"/>
      <c r="C37" s="24" t="s">
        <v>27</v>
      </c>
      <c r="D37" s="10"/>
      <c r="E37" s="24" t="n">
        <f>B35*B36</f>
        <v>44824000</v>
      </c>
      <c r="F37" s="39" t="s">
        <v>28</v>
      </c>
      <c r="G37" s="40"/>
      <c r="H37" s="41" t="n">
        <f>E37/E36</f>
        <v>1.04012870888896</v>
      </c>
      <c r="R37" s="15"/>
      <c r="S37" s="15"/>
      <c r="T37" s="24" t="s">
        <v>27</v>
      </c>
      <c r="U37" s="10"/>
      <c r="V37" s="24" t="n">
        <f>S35*S36</f>
        <v>48360000</v>
      </c>
      <c r="W37" s="39" t="s">
        <v>28</v>
      </c>
      <c r="X37" s="40"/>
      <c r="Y37" s="41" t="n">
        <f>V37/V36</f>
        <v>1.11049875998898</v>
      </c>
    </row>
    <row r="38" ht="16.5" customHeight="1">
      <c r="A38" s="34" t="s">
        <v>63</v>
      </c>
      <c r="H38" s="46" t="n">
        <f>SUM(E23:E30)/(SUM(D23:D30)*B36)</f>
        <v>1.01536621273463</v>
      </c>
      <c r="R38" s="34" t="s">
        <v>63</v>
      </c>
      <c r="Y38" s="46" t="n">
        <f>SUM(V23:V30)/(SUM(U23:U30)*S36)</f>
        <v>0.953454731109598</v>
      </c>
    </row>
    <row r="40" ht="16.5" customHeight="1">
      <c r="A40" s="30" t="s">
        <v>50</v>
      </c>
      <c r="B40" s="27"/>
      <c r="C40" s="27"/>
      <c r="D40" s="27"/>
      <c r="E40" s="27"/>
      <c r="F40" s="27"/>
      <c r="G40" s="27"/>
      <c r="H40" s="28"/>
      <c r="R40" s="30" t="s">
        <v>50</v>
      </c>
      <c r="S40" s="27"/>
      <c r="T40" s="27"/>
      <c r="U40" s="27"/>
      <c r="V40" s="27"/>
      <c r="W40" s="27"/>
      <c r="X40" s="27"/>
      <c r="Y40" s="28"/>
    </row>
    <row r="41" ht="16.5" customHeight="1">
      <c r="A41" s="15" t="s">
        <v>74</v>
      </c>
      <c r="B41" s="10"/>
      <c r="C41" s="10"/>
      <c r="D41" s="10"/>
      <c r="E41" s="10"/>
      <c r="F41" s="10"/>
      <c r="G41" s="10"/>
      <c r="H41" s="10"/>
      <c r="R41" s="15" t="s">
        <v>74</v>
      </c>
      <c r="S41" s="10"/>
      <c r="T41" s="10"/>
      <c r="U41" s="10"/>
      <c r="V41" s="10"/>
      <c r="W41" s="10"/>
      <c r="X41" s="10"/>
      <c r="Y41" s="10"/>
    </row>
    <row r="42" ht="16.5" customHeight="1">
      <c r="A42" s="17" t="s">
        <v>2</v>
      </c>
      <c r="B42" s="15" t="s">
        <v>3</v>
      </c>
      <c r="C42" s="18" t="s">
        <v>4</v>
      </c>
      <c r="D42" s="20" t="s">
        <v>5</v>
      </c>
      <c r="E42" s="17" t="s">
        <v>6</v>
      </c>
      <c r="F42" s="15" t="s">
        <v>7</v>
      </c>
      <c r="G42" s="15" t="s">
        <v>8</v>
      </c>
      <c r="H42" s="17" t="s">
        <v>9</v>
      </c>
      <c r="J42" s="9" t="s">
        <v>12</v>
      </c>
      <c r="K42" s="46"/>
      <c r="R42" s="17" t="s">
        <v>2</v>
      </c>
      <c r="S42" s="15" t="s">
        <v>3</v>
      </c>
      <c r="T42" s="18" t="s">
        <v>4</v>
      </c>
      <c r="U42" s="20" t="s">
        <v>5</v>
      </c>
      <c r="V42" s="17" t="s">
        <v>6</v>
      </c>
      <c r="W42" s="15" t="s">
        <v>7</v>
      </c>
      <c r="X42" s="15" t="s">
        <v>8</v>
      </c>
      <c r="Y42" s="17" t="s">
        <v>9</v>
      </c>
      <c r="AA42" s="9" t="s">
        <v>12</v>
      </c>
      <c r="AB42" s="46"/>
    </row>
    <row r="43" ht="16.5" customHeight="1">
      <c r="A43" s="17" t="n">
        <v>52000</v>
      </c>
      <c r="B43" s="19" t="n">
        <v>0.4</v>
      </c>
      <c r="C43" s="7" t="n">
        <f>A43*B43/0.6</f>
        <v>34666.6666666667</v>
      </c>
      <c r="D43" s="36" t="n">
        <v>0</v>
      </c>
      <c r="E43" s="6" t="n">
        <f>A43*D43</f>
        <v>0</v>
      </c>
      <c r="F43" s="11" t="n">
        <f>C43*D43</f>
        <v>0</v>
      </c>
      <c r="G43" s="12" t="n">
        <f>D43/$B$56</f>
        <v>0</v>
      </c>
      <c r="H43" s="25" t="s">
        <v>54</v>
      </c>
      <c r="J43" s="13" t="n">
        <f>A43/5000</f>
        <v>10.4</v>
      </c>
      <c r="K43" s="13" t="n">
        <f>J43*D43</f>
        <v>0</v>
      </c>
      <c r="R43" s="17" t="n">
        <v>52000</v>
      </c>
      <c r="S43" s="19" t="n">
        <v>0.4</v>
      </c>
      <c r="T43" s="7" t="n">
        <f>R43*S43/0.6</f>
        <v>34666.6666666667</v>
      </c>
      <c r="U43" s="36" t="n">
        <v>0</v>
      </c>
      <c r="V43" s="6" t="n">
        <f>R43*U43</f>
        <v>0</v>
      </c>
      <c r="W43" s="11" t="n">
        <f>T43*U43</f>
        <v>0</v>
      </c>
      <c r="X43" s="12" t="n">
        <f>U43/$S$56</f>
        <v>0</v>
      </c>
      <c r="Y43" s="25" t="s">
        <v>54</v>
      </c>
      <c r="AA43" s="13" t="n">
        <f>R43/5000</f>
        <v>10.4</v>
      </c>
      <c r="AB43" s="13" t="n">
        <f>AA43*U43</f>
        <v>0</v>
      </c>
    </row>
    <row r="44" ht="16.5" customHeight="1">
      <c r="A44" s="17" t="n">
        <v>100000</v>
      </c>
      <c r="B44" s="19" t="n">
        <v>0.4</v>
      </c>
      <c r="C44" s="7" t="n">
        <f>A44*B44/0.6</f>
        <v>66666.6666666667</v>
      </c>
      <c r="D44" s="36" t="n">
        <v>75</v>
      </c>
      <c r="E44" s="6" t="n">
        <f>A44*D44</f>
        <v>7500000</v>
      </c>
      <c r="F44" s="11" t="n">
        <f>C44*D44</f>
        <v>5000000</v>
      </c>
      <c r="G44" s="12" t="n">
        <f>D44/$B$56</f>
        <v>0.384615384615385</v>
      </c>
      <c r="H44" s="25" t="s">
        <v>56</v>
      </c>
      <c r="J44" s="13" t="n">
        <f>A44/5000</f>
        <v>20</v>
      </c>
      <c r="K44" s="13" t="n">
        <f>J44*D44</f>
        <v>1500</v>
      </c>
      <c r="R44" s="17" t="n">
        <v>100000</v>
      </c>
      <c r="S44" s="19" t="n">
        <v>0.4</v>
      </c>
      <c r="T44" s="7" t="n">
        <f>R44*S44/0.6</f>
        <v>66666.6666666667</v>
      </c>
      <c r="U44" s="84" t="n">
        <v>90</v>
      </c>
      <c r="V44" s="6" t="n">
        <f>R44*U44</f>
        <v>9000000</v>
      </c>
      <c r="W44" s="11" t="n">
        <f>T44*U44</f>
        <v>6000000</v>
      </c>
      <c r="X44" s="12" t="n">
        <f>U44/$S$56</f>
        <v>0.428571428571429</v>
      </c>
      <c r="Y44" s="25" t="s">
        <v>56</v>
      </c>
      <c r="AA44" s="13" t="n">
        <f>R44/5000</f>
        <v>20</v>
      </c>
      <c r="AB44" s="13" t="n">
        <f>AA44*U44</f>
        <v>1800</v>
      </c>
    </row>
    <row r="45" ht="16.5" customHeight="1">
      <c r="A45" s="17" t="n">
        <v>100000</v>
      </c>
      <c r="B45" s="19" t="n">
        <v>0.4</v>
      </c>
      <c r="C45" s="7" t="n">
        <f>A45*B45/0.6</f>
        <v>66666.6666666667</v>
      </c>
      <c r="D45" s="36" t="n">
        <v>75</v>
      </c>
      <c r="E45" s="6" t="n">
        <f>A45*D45</f>
        <v>7500000</v>
      </c>
      <c r="F45" s="11" t="n">
        <f>C45*D45</f>
        <v>5000000</v>
      </c>
      <c r="G45" s="12" t="n">
        <f>D45/$B$56</f>
        <v>0.384615384615385</v>
      </c>
      <c r="H45" s="25" t="s">
        <v>57</v>
      </c>
      <c r="J45" s="13" t="n">
        <f>A45/5000</f>
        <v>20</v>
      </c>
      <c r="K45" s="13" t="n">
        <f>J45*D45</f>
        <v>1500</v>
      </c>
      <c r="R45" s="17" t="n">
        <v>100000</v>
      </c>
      <c r="S45" s="19" t="n">
        <v>0.4</v>
      </c>
      <c r="T45" s="7" t="n">
        <f>R45*S45/0.6</f>
        <v>66666.6666666667</v>
      </c>
      <c r="U45" s="36" t="n">
        <v>75</v>
      </c>
      <c r="V45" s="6" t="n">
        <f>R45*U45</f>
        <v>7500000</v>
      </c>
      <c r="W45" s="11" t="n">
        <f>T45*U45</f>
        <v>5000000</v>
      </c>
      <c r="X45" s="12" t="n">
        <f>U45/$S$56</f>
        <v>0.357142857142857</v>
      </c>
      <c r="Y45" s="25" t="s">
        <v>57</v>
      </c>
      <c r="AA45" s="13" t="n">
        <f>R45/5000</f>
        <v>20</v>
      </c>
      <c r="AB45" s="13" t="n">
        <f>AA45*U45</f>
        <v>1500</v>
      </c>
    </row>
    <row r="46" ht="57.75" customHeight="1">
      <c r="A46" s="17" t="n">
        <v>260000</v>
      </c>
      <c r="B46" s="19" t="n">
        <v>0.4</v>
      </c>
      <c r="C46" s="7" t="n">
        <f>A46*B46/0.6</f>
        <v>173333.333333333</v>
      </c>
      <c r="D46" s="36" t="n">
        <v>0</v>
      </c>
      <c r="E46" s="6" t="n">
        <f>A46*D46</f>
        <v>0</v>
      </c>
      <c r="F46" s="11" t="n">
        <f>C46*D46</f>
        <v>0</v>
      </c>
      <c r="G46" s="12" t="n">
        <f>D46/$B$56</f>
        <v>0</v>
      </c>
      <c r="H46" s="25" t="s">
        <v>75</v>
      </c>
      <c r="J46" s="13" t="n">
        <f>A46/5000</f>
        <v>52</v>
      </c>
      <c r="K46" s="13" t="n">
        <f>J46*D46</f>
        <v>0</v>
      </c>
      <c r="R46" s="17" t="n">
        <v>260000</v>
      </c>
      <c r="S46" s="19" t="n">
        <v>0.4</v>
      </c>
      <c r="T46" s="7" t="n">
        <f>R46*S46/0.6</f>
        <v>173333.333333333</v>
      </c>
      <c r="U46" s="36" t="n">
        <v>0</v>
      </c>
      <c r="V46" s="6" t="n">
        <f>R46*U46</f>
        <v>0</v>
      </c>
      <c r="W46" s="11" t="n">
        <f>T46*U46</f>
        <v>0</v>
      </c>
      <c r="X46" s="12" t="n">
        <f>U46/$S$56</f>
        <v>0</v>
      </c>
      <c r="Y46" s="25" t="s">
        <v>75</v>
      </c>
      <c r="AA46" s="13" t="n">
        <f>R46/5000</f>
        <v>52</v>
      </c>
      <c r="AB46" s="13" t="n">
        <f>AA46*U46</f>
        <v>0</v>
      </c>
    </row>
    <row r="47" ht="16.5" customHeight="1">
      <c r="A47" s="17" t="n">
        <v>300000</v>
      </c>
      <c r="B47" s="19" t="n">
        <v>0.4</v>
      </c>
      <c r="C47" s="7" t="n">
        <f>A47*B47/0.6</f>
        <v>200000</v>
      </c>
      <c r="D47" s="36" t="n">
        <v>4</v>
      </c>
      <c r="E47" s="6" t="n">
        <f>A47*D47</f>
        <v>1200000</v>
      </c>
      <c r="F47" s="11" t="n">
        <f>C47*D47</f>
        <v>800000</v>
      </c>
      <c r="G47" s="12" t="n">
        <f>D47/$B$56</f>
        <v>0.0205128205128205</v>
      </c>
      <c r="H47" s="25" t="s">
        <v>69</v>
      </c>
      <c r="J47" s="13" t="n">
        <f>A47/5000</f>
        <v>60</v>
      </c>
      <c r="K47" s="13" t="n">
        <f>J47*D47</f>
        <v>240</v>
      </c>
      <c r="R47" s="17" t="n">
        <v>300000</v>
      </c>
      <c r="S47" s="19" t="n">
        <v>0.4</v>
      </c>
      <c r="T47" s="7" t="n">
        <f>R47*S47/0.6</f>
        <v>200000</v>
      </c>
      <c r="U47" s="36" t="n">
        <v>4</v>
      </c>
      <c r="V47" s="6" t="n">
        <f>R47*U47</f>
        <v>1200000</v>
      </c>
      <c r="W47" s="11" t="n">
        <f>T47*U47</f>
        <v>800000</v>
      </c>
      <c r="X47" s="12" t="n">
        <f>U47/$S$56</f>
        <v>0.0190476190476191</v>
      </c>
      <c r="Y47" s="25" t="s">
        <v>69</v>
      </c>
      <c r="AA47" s="13" t="n">
        <f>R47/5000</f>
        <v>60</v>
      </c>
      <c r="AB47" s="13" t="n">
        <f>AA47*U47</f>
        <v>240</v>
      </c>
    </row>
    <row r="48" ht="16.5" customHeight="1">
      <c r="A48" s="17" t="n">
        <v>300000</v>
      </c>
      <c r="B48" s="19" t="n">
        <v>0.4</v>
      </c>
      <c r="C48" s="7" t="n">
        <f>A48*B48/0.6</f>
        <v>200000</v>
      </c>
      <c r="D48" s="36" t="n">
        <v>4</v>
      </c>
      <c r="E48" s="6" t="n">
        <f>A48*D48</f>
        <v>1200000</v>
      </c>
      <c r="F48" s="11" t="n">
        <f>C48*D48</f>
        <v>800000</v>
      </c>
      <c r="G48" s="12" t="n">
        <f>D48/$B$56</f>
        <v>0.0205128205128205</v>
      </c>
      <c r="H48" s="25" t="s">
        <v>70</v>
      </c>
      <c r="J48" s="13" t="n">
        <f>A48/5000</f>
        <v>60</v>
      </c>
      <c r="K48" s="13" t="n">
        <f>J48*D48</f>
        <v>240</v>
      </c>
      <c r="R48" s="17" t="n">
        <v>300000</v>
      </c>
      <c r="S48" s="19" t="n">
        <v>0.4</v>
      </c>
      <c r="T48" s="7" t="n">
        <f>R48*S48/0.6</f>
        <v>200000</v>
      </c>
      <c r="U48" s="36" t="n">
        <v>4</v>
      </c>
      <c r="V48" s="6" t="n">
        <f>R48*U48</f>
        <v>1200000</v>
      </c>
      <c r="W48" s="11" t="n">
        <f>T48*U48</f>
        <v>800000</v>
      </c>
      <c r="X48" s="12" t="n">
        <f>U48/$S$56</f>
        <v>0.0190476190476191</v>
      </c>
      <c r="Y48" s="25" t="s">
        <v>70</v>
      </c>
      <c r="AA48" s="13" t="n">
        <f>R48/5000</f>
        <v>60</v>
      </c>
      <c r="AB48" s="13" t="n">
        <f>AA48*U48</f>
        <v>240</v>
      </c>
    </row>
    <row r="49" ht="16.5" customHeight="1">
      <c r="A49" s="17" t="n">
        <v>500000</v>
      </c>
      <c r="B49" s="19" t="n">
        <v>0.4</v>
      </c>
      <c r="C49" s="7" t="n">
        <f>A49*B49/0.6</f>
        <v>333333.333333333</v>
      </c>
      <c r="D49" s="36" t="n">
        <v>14</v>
      </c>
      <c r="E49" s="6" t="n">
        <f>A49*D49</f>
        <v>7000000</v>
      </c>
      <c r="F49" s="11" t="n">
        <f>C49*D49</f>
        <v>4666666.66666666</v>
      </c>
      <c r="G49" s="12" t="n">
        <f>D49/$B$56</f>
        <v>0.0717948717948718</v>
      </c>
      <c r="H49" s="25" t="s">
        <v>71</v>
      </c>
      <c r="J49" s="13" t="n">
        <f>A49/5000</f>
        <v>100</v>
      </c>
      <c r="K49" s="13" t="n">
        <f>J49*D49</f>
        <v>1400</v>
      </c>
      <c r="R49" s="17" t="n">
        <v>500000</v>
      </c>
      <c r="S49" s="19" t="n">
        <v>0.4</v>
      </c>
      <c r="T49" s="7" t="n">
        <f>R49*S49/0.6</f>
        <v>333333.333333333</v>
      </c>
      <c r="U49" s="36" t="n">
        <v>14</v>
      </c>
      <c r="V49" s="6" t="n">
        <f>R49*U49</f>
        <v>7000000</v>
      </c>
      <c r="W49" s="11" t="n">
        <f>T49*U49</f>
        <v>4666666.66666666</v>
      </c>
      <c r="X49" s="12" t="n">
        <f>U49/$S$56</f>
        <v>0.0666666666666667</v>
      </c>
      <c r="Y49" s="25" t="s">
        <v>71</v>
      </c>
      <c r="AA49" s="13" t="n">
        <f>R49/5000</f>
        <v>100</v>
      </c>
      <c r="AB49" s="13" t="n">
        <f>AA49*U49</f>
        <v>1400</v>
      </c>
    </row>
    <row r="50" ht="43.5" customHeight="1">
      <c r="A50" s="17" t="n">
        <v>800000</v>
      </c>
      <c r="B50" s="19" t="n">
        <v>0.4</v>
      </c>
      <c r="C50" s="7" t="n">
        <f>A50*B50/0.6</f>
        <v>533333.333333333</v>
      </c>
      <c r="D50" s="36" t="n">
        <v>14</v>
      </c>
      <c r="E50" s="6" t="n">
        <f>A50*D50</f>
        <v>11200000</v>
      </c>
      <c r="F50" s="11" t="n">
        <f>C50*D50</f>
        <v>7466666.66666666</v>
      </c>
      <c r="G50" s="12" t="n">
        <f>D50/$B$56</f>
        <v>0.0717948717948718</v>
      </c>
      <c r="H50" s="25" t="s">
        <v>72</v>
      </c>
      <c r="J50" s="13" t="n">
        <f>A50/5000</f>
        <v>160</v>
      </c>
      <c r="K50" s="13" t="n">
        <f>J50*D50</f>
        <v>2240</v>
      </c>
      <c r="R50" s="17" t="n">
        <v>800000</v>
      </c>
      <c r="S50" s="19" t="n">
        <v>0.4</v>
      </c>
      <c r="T50" s="7" t="n">
        <f>R50*S50/0.6</f>
        <v>533333.333333333</v>
      </c>
      <c r="U50" s="36" t="n">
        <v>14</v>
      </c>
      <c r="V50" s="6" t="n">
        <f>R50*U50</f>
        <v>11200000</v>
      </c>
      <c r="W50" s="11" t="n">
        <f>T50*U50</f>
        <v>7466666.66666666</v>
      </c>
      <c r="X50" s="12" t="n">
        <f>U50/$S$56</f>
        <v>0.0666666666666667</v>
      </c>
      <c r="Y50" s="25" t="s">
        <v>72</v>
      </c>
      <c r="AA50" s="13" t="n">
        <f>R50/5000</f>
        <v>160</v>
      </c>
      <c r="AB50" s="13" t="n">
        <f>AA50*U50</f>
        <v>2240</v>
      </c>
    </row>
    <row r="51" ht="16.5" customHeight="1">
      <c r="A51" s="17" t="n">
        <v>1234000</v>
      </c>
      <c r="B51" s="19" t="n">
        <v>0.4</v>
      </c>
      <c r="C51" s="7" t="n">
        <f>A51*B51/0.6</f>
        <v>822666.666666667</v>
      </c>
      <c r="D51" s="36" t="n">
        <v>3</v>
      </c>
      <c r="E51" s="6" t="n">
        <f>A51*D51</f>
        <v>3702000</v>
      </c>
      <c r="F51" s="11" t="n">
        <f>C51*D51</f>
        <v>2468000</v>
      </c>
      <c r="G51" s="12" t="n">
        <f>D51/$B$56</f>
        <v>0.0153846153846154</v>
      </c>
      <c r="H51" s="25" t="s">
        <v>60</v>
      </c>
      <c r="I51" s="9" t="s">
        <v>61</v>
      </c>
      <c r="J51" s="13" t="n">
        <f>A51/5000</f>
        <v>246.8</v>
      </c>
      <c r="K51" s="13" t="n">
        <f>J51*D51</f>
        <v>740.4</v>
      </c>
      <c r="R51" s="17" t="n">
        <v>1234000</v>
      </c>
      <c r="S51" s="19" t="n">
        <v>0.4</v>
      </c>
      <c r="T51" s="7" t="n">
        <f>R51*S51/0.6</f>
        <v>822666.666666667</v>
      </c>
      <c r="U51" s="36" t="n">
        <v>3</v>
      </c>
      <c r="V51" s="6" t="n">
        <f>R51*U51</f>
        <v>3702000</v>
      </c>
      <c r="W51" s="11" t="n">
        <f>T51*U51</f>
        <v>2468000</v>
      </c>
      <c r="X51" s="12" t="n">
        <f>U51/$S$56</f>
        <v>0.0142857142857143</v>
      </c>
      <c r="Y51" s="25" t="s">
        <v>60</v>
      </c>
      <c r="Z51" s="9" t="s">
        <v>61</v>
      </c>
      <c r="AA51" s="13" t="n">
        <f>R51/5000</f>
        <v>246.8</v>
      </c>
      <c r="AB51" s="13" t="n">
        <f>AA51*U51</f>
        <v>740.4</v>
      </c>
    </row>
    <row r="52" ht="16.5" customHeight="1">
      <c r="A52" s="54" t="n">
        <v>3344000</v>
      </c>
      <c r="B52" s="19" t="n">
        <v>0.4</v>
      </c>
      <c r="C52" s="7" t="n">
        <f>A52*B52/0.6</f>
        <v>2229333.33333333</v>
      </c>
      <c r="D52" s="36" t="n">
        <v>2</v>
      </c>
      <c r="E52" s="6" t="n">
        <f>A52*D52</f>
        <v>6688000</v>
      </c>
      <c r="F52" s="11" t="n">
        <f>C52*D52</f>
        <v>4458666.66666666</v>
      </c>
      <c r="G52" s="12" t="n">
        <f>D52/$B$56</f>
        <v>0.0102564102564103</v>
      </c>
      <c r="H52" s="44" t="s">
        <v>62</v>
      </c>
      <c r="I52" s="9" t="s">
        <v>61</v>
      </c>
      <c r="J52" s="13" t="n">
        <f>A52/5000</f>
        <v>668.8</v>
      </c>
      <c r="K52" s="13" t="n">
        <f>J52*D52</f>
        <v>1337.6</v>
      </c>
      <c r="R52" s="54" t="n">
        <v>3344000</v>
      </c>
      <c r="S52" s="19" t="n">
        <v>0.4</v>
      </c>
      <c r="T52" s="7" t="n">
        <f>R52*S52/0.6</f>
        <v>2229333.33333333</v>
      </c>
      <c r="U52" s="36" t="n">
        <v>2</v>
      </c>
      <c r="V52" s="6" t="n">
        <f>R52*U52</f>
        <v>6688000</v>
      </c>
      <c r="W52" s="11" t="n">
        <f>T52*U52</f>
        <v>4458666.66666666</v>
      </c>
      <c r="X52" s="12" t="n">
        <f>U52/$S$56</f>
        <v>0.00952380952380953</v>
      </c>
      <c r="Y52" s="44" t="s">
        <v>62</v>
      </c>
      <c r="Z52" s="9" t="s">
        <v>61</v>
      </c>
      <c r="AA52" s="13" t="n">
        <f>R52/5000</f>
        <v>668.8</v>
      </c>
      <c r="AB52" s="13" t="n">
        <f>AA52*U52</f>
        <v>1337.6</v>
      </c>
    </row>
    <row r="53" ht="16.5" customHeight="1">
      <c r="A53" s="54" t="n">
        <v>5200000</v>
      </c>
      <c r="B53" s="19" t="n">
        <v>0.4</v>
      </c>
      <c r="C53" s="7" t="n">
        <f>A53*B53/0.6</f>
        <v>3466666.66666667</v>
      </c>
      <c r="D53" s="36" t="n">
        <v>2</v>
      </c>
      <c r="E53" s="6" t="n">
        <f>A53*D53</f>
        <v>10400000</v>
      </c>
      <c r="F53" s="11" t="n">
        <f>C53*D53</f>
        <v>6933333.33333334</v>
      </c>
      <c r="G53" s="12" t="n">
        <f>D53/$B$56</f>
        <v>0.0102564102564103</v>
      </c>
      <c r="H53" s="25" t="s">
        <v>73</v>
      </c>
      <c r="I53" s="9" t="s">
        <v>61</v>
      </c>
      <c r="J53" s="13" t="n">
        <f>A53/5000</f>
        <v>1040</v>
      </c>
      <c r="K53" s="13" t="n">
        <f>J53*D53</f>
        <v>2080</v>
      </c>
      <c r="R53" s="54" t="n">
        <v>5200000</v>
      </c>
      <c r="S53" s="19" t="n">
        <v>0.4</v>
      </c>
      <c r="T53" s="7" t="n">
        <f>R53*S53/0.6</f>
        <v>3466666.66666667</v>
      </c>
      <c r="U53" s="36" t="n">
        <v>2</v>
      </c>
      <c r="V53" s="6" t="n">
        <f>R53*U53</f>
        <v>10400000</v>
      </c>
      <c r="W53" s="11" t="n">
        <f>T53*U53</f>
        <v>6933333.33333334</v>
      </c>
      <c r="X53" s="12" t="n">
        <f>U53/$S$56</f>
        <v>0.00952380952380953</v>
      </c>
      <c r="Y53" s="25" t="s">
        <v>73</v>
      </c>
      <c r="Z53" s="9" t="s">
        <v>61</v>
      </c>
      <c r="AA53" s="13" t="n">
        <f>R53/5000</f>
        <v>1040</v>
      </c>
      <c r="AB53" s="13" t="n">
        <f>AA53*U53</f>
        <v>2080</v>
      </c>
    </row>
    <row r="54" ht="16.5" customHeight="1">
      <c r="A54" s="54" t="n">
        <v>8000000</v>
      </c>
      <c r="B54" s="19" t="n">
        <v>0.4</v>
      </c>
      <c r="C54" s="7" t="n">
        <f>A54*B54/0.6</f>
        <v>5333333.33333333</v>
      </c>
      <c r="D54" s="36" t="n">
        <v>2</v>
      </c>
      <c r="E54" s="6" t="n">
        <f>A54*D54</f>
        <v>16000000</v>
      </c>
      <c r="F54" s="11" t="n">
        <f>C54*D54</f>
        <v>10666666.6666667</v>
      </c>
      <c r="G54" s="12" t="n">
        <f>D54/$B$56</f>
        <v>0.0102564102564103</v>
      </c>
      <c r="H54" s="44" t="s">
        <v>76</v>
      </c>
      <c r="I54" s="9" t="s">
        <v>61</v>
      </c>
      <c r="J54" s="13" t="n">
        <f>A54/5000</f>
        <v>1600</v>
      </c>
      <c r="K54" s="13" t="n">
        <f>J54*D54</f>
        <v>3200</v>
      </c>
      <c r="R54" s="54" t="n">
        <v>8000000</v>
      </c>
      <c r="S54" s="19" t="n">
        <v>0.4</v>
      </c>
      <c r="T54" s="7" t="n">
        <f>R54*S54/0.6</f>
        <v>5333333.33333333</v>
      </c>
      <c r="U54" s="36" t="n">
        <v>2</v>
      </c>
      <c r="V54" s="6" t="n">
        <f>R54*U54</f>
        <v>16000000</v>
      </c>
      <c r="W54" s="11" t="n">
        <f>T54*U54</f>
        <v>10666666.6666667</v>
      </c>
      <c r="X54" s="12" t="n">
        <f>U54/$S$56</f>
        <v>0.00952380952380953</v>
      </c>
      <c r="Y54" s="44" t="s">
        <v>76</v>
      </c>
      <c r="Z54" s="9" t="s">
        <v>61</v>
      </c>
      <c r="AA54" s="13" t="n">
        <f>R54/5000</f>
        <v>1600</v>
      </c>
      <c r="AB54" s="13" t="n">
        <f>AA54*U54</f>
        <v>3200</v>
      </c>
    </row>
    <row r="55" ht="16.5" customHeight="1">
      <c r="A55" s="17"/>
      <c r="B55" s="17"/>
      <c r="C55" s="17"/>
      <c r="D55" s="17"/>
      <c r="E55" s="17"/>
      <c r="F55" s="17"/>
      <c r="G55" s="17"/>
      <c r="H55" s="17"/>
      <c r="R55" s="17"/>
      <c r="S55" s="17"/>
      <c r="T55" s="17"/>
      <c r="U55" s="17"/>
      <c r="V55" s="17"/>
      <c r="W55" s="17"/>
      <c r="X55" s="17"/>
      <c r="Y55" s="17"/>
    </row>
    <row r="56" ht="16.5" customHeight="1">
      <c r="A56" s="22" t="s">
        <v>21</v>
      </c>
      <c r="B56" s="23" t="n">
        <f>SUM(D43:D54)</f>
        <v>195</v>
      </c>
      <c r="C56" s="24" t="s">
        <v>22</v>
      </c>
      <c r="D56" s="10"/>
      <c r="E56" s="31" t="n">
        <f>SUM(E43:E54)</f>
        <v>72390000</v>
      </c>
      <c r="F56" s="39" t="s">
        <v>23</v>
      </c>
      <c r="G56" s="40"/>
      <c r="H56" s="41" t="n">
        <f>E56/E58</f>
        <v>1.42781065088757</v>
      </c>
      <c r="R56" s="22" t="s">
        <v>21</v>
      </c>
      <c r="S56" s="23" t="n">
        <f>SUM(U43:U54)</f>
        <v>210</v>
      </c>
      <c r="T56" s="24" t="s">
        <v>22</v>
      </c>
      <c r="U56" s="10"/>
      <c r="V56" s="31" t="n">
        <f>SUM(V43:V54)</f>
        <v>73890000</v>
      </c>
      <c r="W56" s="39" t="s">
        <v>23</v>
      </c>
      <c r="X56" s="40"/>
      <c r="Y56" s="41" t="n">
        <f>V56/V58</f>
        <v>1.3532967032967</v>
      </c>
    </row>
    <row r="57" ht="16.5" customHeight="1">
      <c r="A57" s="22" t="s">
        <v>24</v>
      </c>
      <c r="B57" s="22" t="n">
        <f>52000*5</f>
        <v>260000</v>
      </c>
      <c r="C57" s="24" t="s">
        <v>25</v>
      </c>
      <c r="D57" s="10"/>
      <c r="E57" s="31" t="n">
        <f>SUM(F43:F54)</f>
        <v>48260000</v>
      </c>
      <c r="F57" s="39" t="s">
        <v>26</v>
      </c>
      <c r="G57" s="40"/>
      <c r="H57" s="41" t="n">
        <f>E57/E58</f>
        <v>0.951873767258383</v>
      </c>
      <c r="R57" s="22" t="s">
        <v>24</v>
      </c>
      <c r="S57" s="22" t="n">
        <f>52000*5</f>
        <v>260000</v>
      </c>
      <c r="T57" s="24" t="s">
        <v>25</v>
      </c>
      <c r="U57" s="10"/>
      <c r="V57" s="31" t="n">
        <f>SUM(W43:W54)</f>
        <v>49260000</v>
      </c>
      <c r="W57" s="39" t="s">
        <v>26</v>
      </c>
      <c r="X57" s="40"/>
      <c r="Y57" s="41" t="n">
        <f>V57/V58</f>
        <v>0.902197802197802</v>
      </c>
    </row>
    <row r="58" ht="16.5" customHeight="1">
      <c r="A58" s="15"/>
      <c r="B58" s="15"/>
      <c r="C58" s="24" t="s">
        <v>27</v>
      </c>
      <c r="D58" s="10"/>
      <c r="E58" s="24" t="n">
        <f>B56*B57</f>
        <v>50700000</v>
      </c>
      <c r="F58" s="39" t="s">
        <v>28</v>
      </c>
      <c r="G58" s="40"/>
      <c r="H58" s="41" t="n">
        <f>E58/E57</f>
        <v>1.05055946953999</v>
      </c>
      <c r="R58" s="15"/>
      <c r="S58" s="15"/>
      <c r="T58" s="24" t="s">
        <v>27</v>
      </c>
      <c r="U58" s="10"/>
      <c r="V58" s="24" t="n">
        <f>S56*S57</f>
        <v>54600000</v>
      </c>
      <c r="W58" s="39" t="s">
        <v>28</v>
      </c>
      <c r="X58" s="40"/>
      <c r="Y58" s="41" t="n">
        <f>V58/V57</f>
        <v>1.10840438489647</v>
      </c>
    </row>
    <row r="59" ht="16.5" customHeight="1">
      <c r="A59" s="34" t="s">
        <v>63</v>
      </c>
      <c r="H59" s="46" t="n">
        <f>SUM(E43:E51)/(SUM(D43:D51)*B57)</f>
        <v>0.7997964997965</v>
      </c>
      <c r="R59" s="34" t="s">
        <v>63</v>
      </c>
      <c r="Y59" s="46" t="n">
        <f>SUM(V43:V51)/(SUM(U43:U51)*S57)</f>
        <v>0.769268476621418</v>
      </c>
    </row>
    <row r="61" ht="16.5" customHeight="1">
      <c r="A61" s="30" t="s">
        <v>50</v>
      </c>
      <c r="B61" s="27"/>
      <c r="C61" s="27"/>
      <c r="D61" s="27"/>
      <c r="E61" s="27"/>
      <c r="F61" s="27"/>
      <c r="G61" s="27"/>
      <c r="H61" s="28"/>
      <c r="R61" s="30" t="s">
        <v>50</v>
      </c>
      <c r="S61" s="27"/>
      <c r="T61" s="27"/>
      <c r="U61" s="27"/>
      <c r="V61" s="27"/>
      <c r="W61" s="27"/>
      <c r="X61" s="27"/>
      <c r="Y61" s="28"/>
    </row>
    <row r="62" ht="16.5" customHeight="1">
      <c r="A62" s="15" t="s">
        <v>77</v>
      </c>
      <c r="B62" s="10"/>
      <c r="C62" s="10"/>
      <c r="D62" s="10"/>
      <c r="E62" s="10"/>
      <c r="F62" s="10"/>
      <c r="G62" s="10"/>
      <c r="H62" s="10"/>
      <c r="R62" s="15" t="s">
        <v>77</v>
      </c>
      <c r="S62" s="10"/>
      <c r="T62" s="10"/>
      <c r="U62" s="10"/>
      <c r="V62" s="10"/>
      <c r="W62" s="10"/>
      <c r="X62" s="10"/>
      <c r="Y62" s="10"/>
    </row>
    <row r="63" ht="16.5" customHeight="1">
      <c r="A63" s="17" t="s">
        <v>2</v>
      </c>
      <c r="B63" s="15" t="s">
        <v>3</v>
      </c>
      <c r="C63" s="18" t="s">
        <v>4</v>
      </c>
      <c r="D63" s="20" t="s">
        <v>5</v>
      </c>
      <c r="E63" s="17" t="s">
        <v>6</v>
      </c>
      <c r="F63" s="15" t="s">
        <v>7</v>
      </c>
      <c r="G63" s="15" t="s">
        <v>8</v>
      </c>
      <c r="H63" s="17" t="s">
        <v>9</v>
      </c>
      <c r="J63" s="9" t="s">
        <v>12</v>
      </c>
      <c r="K63" s="46"/>
      <c r="R63" s="17" t="s">
        <v>2</v>
      </c>
      <c r="S63" s="15" t="s">
        <v>3</v>
      </c>
      <c r="T63" s="18" t="s">
        <v>4</v>
      </c>
      <c r="U63" s="20" t="s">
        <v>5</v>
      </c>
      <c r="V63" s="17" t="s">
        <v>6</v>
      </c>
      <c r="W63" s="15" t="s">
        <v>7</v>
      </c>
      <c r="X63" s="15" t="s">
        <v>8</v>
      </c>
      <c r="Y63" s="17" t="s">
        <v>9</v>
      </c>
      <c r="AA63" s="9" t="s">
        <v>12</v>
      </c>
      <c r="AB63" s="46"/>
    </row>
    <row r="64" ht="43.5" customHeight="1">
      <c r="A64" s="17" t="n">
        <v>200000</v>
      </c>
      <c r="B64" s="19" t="n">
        <v>0.4</v>
      </c>
      <c r="C64" s="7" t="n">
        <f>A64*B64/0.6</f>
        <v>133333.333333333</v>
      </c>
      <c r="D64" s="36" t="n">
        <v>90</v>
      </c>
      <c r="E64" s="6" t="n">
        <f>A64*D64</f>
        <v>18000000</v>
      </c>
      <c r="F64" s="11" t="n">
        <f>C64*D64</f>
        <v>12000000</v>
      </c>
      <c r="G64" s="12" t="n">
        <f>D64/$B$56</f>
        <v>0.461538461538462</v>
      </c>
      <c r="H64" s="25" t="s">
        <v>78</v>
      </c>
      <c r="J64" s="13" t="n">
        <f>A64/5000</f>
        <v>40</v>
      </c>
      <c r="K64" s="13" t="n">
        <f>J64*D64</f>
        <v>3600</v>
      </c>
      <c r="R64" s="17" t="n">
        <v>200000</v>
      </c>
      <c r="S64" s="19" t="n">
        <v>0.4</v>
      </c>
      <c r="T64" s="7" t="n">
        <f>R64*S64/0.6</f>
        <v>133333.333333333</v>
      </c>
      <c r="U64" s="84" t="n">
        <v>105</v>
      </c>
      <c r="V64" s="6" t="n">
        <f>R64*U64</f>
        <v>21000000</v>
      </c>
      <c r="W64" s="11" t="n">
        <f>T64*U64</f>
        <v>14000000</v>
      </c>
      <c r="X64" s="12" t="n">
        <f>U64/$S$56</f>
        <v>0.5</v>
      </c>
      <c r="Y64" s="25" t="s">
        <v>78</v>
      </c>
      <c r="AA64" s="13" t="n">
        <f>R64/5000</f>
        <v>40</v>
      </c>
      <c r="AB64" s="13" t="n">
        <f>AA64*U64</f>
        <v>4200</v>
      </c>
    </row>
    <row r="65" ht="43.5" customHeight="1">
      <c r="A65" s="17" t="n">
        <v>400000</v>
      </c>
      <c r="B65" s="19" t="n">
        <v>0.4</v>
      </c>
      <c r="C65" s="7" t="n">
        <f>A65*B65/0.6</f>
        <v>266666.666666667</v>
      </c>
      <c r="D65" s="36" t="n">
        <v>10</v>
      </c>
      <c r="E65" s="6" t="n">
        <f>A65*D65</f>
        <v>4000000</v>
      </c>
      <c r="F65" s="11" t="n">
        <f>C65*D65</f>
        <v>2666666.66666667</v>
      </c>
      <c r="G65" s="12" t="n">
        <f>D65/$B$56</f>
        <v>0.0512820512820513</v>
      </c>
      <c r="H65" s="25" t="s">
        <v>79</v>
      </c>
      <c r="J65" s="13" t="n">
        <f>A65/5000</f>
        <v>80</v>
      </c>
      <c r="K65" s="13" t="n">
        <f>J65*D65</f>
        <v>800</v>
      </c>
      <c r="R65" s="17" t="n">
        <v>400000</v>
      </c>
      <c r="S65" s="19" t="n">
        <v>0.4</v>
      </c>
      <c r="T65" s="7" t="n">
        <f>R65*S65/0.6</f>
        <v>266666.666666667</v>
      </c>
      <c r="U65" s="36" t="n">
        <v>10</v>
      </c>
      <c r="V65" s="6" t="n">
        <f>R65*U65</f>
        <v>4000000</v>
      </c>
      <c r="W65" s="11" t="n">
        <f>T65*U65</f>
        <v>2666666.66666667</v>
      </c>
      <c r="X65" s="12" t="n">
        <f>U65/$S$56</f>
        <v>0.0476190476190476</v>
      </c>
      <c r="Y65" s="25" t="s">
        <v>79</v>
      </c>
      <c r="AA65" s="13" t="n">
        <f>R65/5000</f>
        <v>80</v>
      </c>
      <c r="AB65" s="13" t="n">
        <f>AA65*U65</f>
        <v>800</v>
      </c>
    </row>
    <row r="66" ht="16.5" customHeight="1">
      <c r="A66" s="17" t="n">
        <v>520000</v>
      </c>
      <c r="B66" s="19" t="n">
        <v>0.4</v>
      </c>
      <c r="C66" s="7" t="n">
        <f>A66*B66/0.6</f>
        <v>346666.666666667</v>
      </c>
      <c r="D66" s="36" t="n">
        <v>30</v>
      </c>
      <c r="E66" s="6" t="n">
        <f>A66*D66</f>
        <v>15600000</v>
      </c>
      <c r="F66" s="11" t="n">
        <f>C66*D66</f>
        <v>10400000</v>
      </c>
      <c r="G66" s="12" t="n">
        <f>D66/$B$56</f>
        <v>0.153846153846154</v>
      </c>
      <c r="H66" s="25" t="s">
        <v>80</v>
      </c>
      <c r="J66" s="13" t="n">
        <f>A66/5000</f>
        <v>104</v>
      </c>
      <c r="K66" s="13" t="n">
        <f>J66*D66</f>
        <v>3120</v>
      </c>
      <c r="R66" s="17" t="n">
        <v>520000</v>
      </c>
      <c r="S66" s="19" t="n">
        <v>0.4</v>
      </c>
      <c r="T66" s="7" t="n">
        <f>R66*S66/0.6</f>
        <v>346666.666666667</v>
      </c>
      <c r="U66" s="36" t="n">
        <v>30</v>
      </c>
      <c r="V66" s="6" t="n">
        <f>R66*U66</f>
        <v>15600000</v>
      </c>
      <c r="W66" s="11" t="n">
        <f>T66*U66</f>
        <v>10400000</v>
      </c>
      <c r="X66" s="12" t="n">
        <f>U66/$S$56</f>
        <v>0.142857142857143</v>
      </c>
      <c r="Y66" s="25" t="s">
        <v>80</v>
      </c>
      <c r="AA66" s="13" t="n">
        <f>R66/5000</f>
        <v>104</v>
      </c>
      <c r="AB66" s="13" t="n">
        <f>AA66*U66</f>
        <v>3120</v>
      </c>
    </row>
    <row r="67" ht="16.5" customHeight="1">
      <c r="A67" s="17" t="n">
        <v>600000</v>
      </c>
      <c r="B67" s="19" t="n">
        <v>0.4</v>
      </c>
      <c r="C67" s="7" t="n">
        <f>A67*B67/0.6</f>
        <v>400000</v>
      </c>
      <c r="D67" s="36" t="n">
        <v>11</v>
      </c>
      <c r="E67" s="6" t="n">
        <f>A67*D67</f>
        <v>6600000</v>
      </c>
      <c r="F67" s="11" t="n">
        <f>C67*D67</f>
        <v>4400000</v>
      </c>
      <c r="G67" s="12" t="n">
        <f>D67/$B$56</f>
        <v>0.0564102564102564</v>
      </c>
      <c r="H67" s="44" t="s">
        <v>81</v>
      </c>
      <c r="J67" s="13" t="n">
        <f>A67/5000</f>
        <v>120</v>
      </c>
      <c r="K67" s="13" t="n">
        <f>J67*D67</f>
        <v>1320</v>
      </c>
      <c r="R67" s="17" t="n">
        <v>600000</v>
      </c>
      <c r="S67" s="19" t="n">
        <v>0.4</v>
      </c>
      <c r="T67" s="7" t="n">
        <f>R67*S67/0.6</f>
        <v>400000</v>
      </c>
      <c r="U67" s="36" t="n">
        <v>11</v>
      </c>
      <c r="V67" s="6" t="n">
        <f>R67*U67</f>
        <v>6600000</v>
      </c>
      <c r="W67" s="11" t="n">
        <f>T67*U67</f>
        <v>4400000</v>
      </c>
      <c r="X67" s="12" t="n">
        <f>U67/$S$56</f>
        <v>0.0523809523809524</v>
      </c>
      <c r="Y67" s="44" t="s">
        <v>81</v>
      </c>
      <c r="AA67" s="13" t="n">
        <f>R67/5000</f>
        <v>120</v>
      </c>
      <c r="AB67" s="13" t="n">
        <f>AA67*U67</f>
        <v>1320</v>
      </c>
    </row>
    <row r="68" ht="16.5" customHeight="1">
      <c r="A68" s="17" t="n">
        <v>1234000</v>
      </c>
      <c r="B68" s="19" t="n">
        <v>0.4</v>
      </c>
      <c r="C68" s="7" t="n">
        <f>A68*B68/0.6</f>
        <v>822666.666666667</v>
      </c>
      <c r="D68" s="36" t="n">
        <v>28</v>
      </c>
      <c r="E68" s="6" t="n">
        <f>A68*D68</f>
        <v>34552000</v>
      </c>
      <c r="F68" s="11" t="n">
        <f>C68*D68</f>
        <v>23034666.6666667</v>
      </c>
      <c r="G68" s="12" t="n">
        <f>D68/$B$56</f>
        <v>0.143589743589744</v>
      </c>
      <c r="H68" s="25" t="s">
        <v>60</v>
      </c>
      <c r="I68" s="9" t="s">
        <v>61</v>
      </c>
      <c r="J68" s="13" t="n">
        <f>A68/5000</f>
        <v>246.8</v>
      </c>
      <c r="K68" s="13" t="n">
        <f>J68*D68</f>
        <v>6910.4</v>
      </c>
      <c r="R68" s="17" t="n">
        <v>1234000</v>
      </c>
      <c r="S68" s="19" t="n">
        <v>0.4</v>
      </c>
      <c r="T68" s="7" t="n">
        <f>R68*S68/0.6</f>
        <v>822666.666666667</v>
      </c>
      <c r="U68" s="36" t="n">
        <v>28</v>
      </c>
      <c r="V68" s="6" t="n">
        <f>R68*U68</f>
        <v>34552000</v>
      </c>
      <c r="W68" s="11" t="n">
        <f>T68*U68</f>
        <v>23034666.6666667</v>
      </c>
      <c r="X68" s="12" t="n">
        <f>U68/$S$56</f>
        <v>0.133333333333333</v>
      </c>
      <c r="Y68" s="25" t="s">
        <v>60</v>
      </c>
      <c r="Z68" s="9" t="s">
        <v>61</v>
      </c>
      <c r="AA68" s="13" t="n">
        <f>R68/5000</f>
        <v>246.8</v>
      </c>
      <c r="AB68" s="13" t="n">
        <f>AA68*U68</f>
        <v>6910.4</v>
      </c>
    </row>
    <row r="69" ht="16.5" customHeight="1">
      <c r="A69" s="54" t="n">
        <v>5200000</v>
      </c>
      <c r="B69" s="19" t="n">
        <v>0.4</v>
      </c>
      <c r="C69" s="7" t="n">
        <f>A69*B69/0.6</f>
        <v>3466666.66666667</v>
      </c>
      <c r="D69" s="36" t="n">
        <v>2</v>
      </c>
      <c r="E69" s="6" t="n">
        <f>A69*D69</f>
        <v>10400000</v>
      </c>
      <c r="F69" s="11" t="n">
        <f>C69*D69</f>
        <v>6933333.33333334</v>
      </c>
      <c r="G69" s="12" t="n">
        <f>D69/$B$56</f>
        <v>0.0102564102564103</v>
      </c>
      <c r="H69" s="44" t="s">
        <v>73</v>
      </c>
      <c r="I69" s="9" t="s">
        <v>61</v>
      </c>
      <c r="J69" s="13" t="n">
        <f>A69/5000</f>
        <v>1040</v>
      </c>
      <c r="K69" s="13" t="n">
        <f>J69*D69</f>
        <v>2080</v>
      </c>
      <c r="R69" s="54" t="n">
        <v>5200000</v>
      </c>
      <c r="S69" s="19" t="n">
        <v>0.4</v>
      </c>
      <c r="T69" s="7" t="n">
        <f>R69*S69/0.6</f>
        <v>3466666.66666667</v>
      </c>
      <c r="U69" s="36" t="n">
        <v>2</v>
      </c>
      <c r="V69" s="6" t="n">
        <f>R69*U69</f>
        <v>10400000</v>
      </c>
      <c r="W69" s="11" t="n">
        <f>T69*U69</f>
        <v>6933333.33333334</v>
      </c>
      <c r="X69" s="12" t="n">
        <f>U69/$S$56</f>
        <v>0.00952380952380953</v>
      </c>
      <c r="Y69" s="44" t="s">
        <v>73</v>
      </c>
      <c r="Z69" s="9" t="s">
        <v>61</v>
      </c>
      <c r="AA69" s="13" t="n">
        <f>R69/5000</f>
        <v>1040</v>
      </c>
      <c r="AB69" s="13" t="n">
        <f>AA69*U69</f>
        <v>2080</v>
      </c>
    </row>
    <row r="70" ht="16.5" customHeight="1">
      <c r="A70" s="54" t="n">
        <v>7668000</v>
      </c>
      <c r="B70" s="19" t="n">
        <v>0.4</v>
      </c>
      <c r="C70" s="7" t="n">
        <f>A70*B70/0.6</f>
        <v>5112000</v>
      </c>
      <c r="D70" s="36" t="n">
        <v>2</v>
      </c>
      <c r="E70" s="6" t="n">
        <f>A70*D70</f>
        <v>15336000</v>
      </c>
      <c r="F70" s="11" t="n">
        <f>C70*D70</f>
        <v>10224000</v>
      </c>
      <c r="G70" s="12" t="n">
        <f>D70/$B$56</f>
        <v>0.0102564102564103</v>
      </c>
      <c r="H70" s="44" t="s">
        <v>82</v>
      </c>
      <c r="I70" s="9" t="s">
        <v>61</v>
      </c>
      <c r="J70" s="13" t="n">
        <f>A70/5000</f>
        <v>1533.6</v>
      </c>
      <c r="K70" s="13" t="n">
        <f>J70*D70</f>
        <v>3067.2</v>
      </c>
      <c r="R70" s="54" t="n">
        <v>7668000</v>
      </c>
      <c r="S70" s="19" t="n">
        <v>0.4</v>
      </c>
      <c r="T70" s="7" t="n">
        <f>R70*S70/0.6</f>
        <v>5112000</v>
      </c>
      <c r="U70" s="36" t="n">
        <v>2</v>
      </c>
      <c r="V70" s="6" t="n">
        <f>R70*U70</f>
        <v>15336000</v>
      </c>
      <c r="W70" s="11" t="n">
        <f>T70*U70</f>
        <v>10224000</v>
      </c>
      <c r="X70" s="12" t="n">
        <f>U70/$S$56</f>
        <v>0.00952380952380953</v>
      </c>
      <c r="Y70" s="44" t="s">
        <v>82</v>
      </c>
      <c r="Z70" s="9" t="s">
        <v>61</v>
      </c>
      <c r="AA70" s="13" t="n">
        <f>R70/5000</f>
        <v>1533.6</v>
      </c>
      <c r="AB70" s="13" t="n">
        <f>AA70*U70</f>
        <v>3067.2</v>
      </c>
    </row>
    <row r="71" ht="16.5" customHeight="1">
      <c r="A71" s="54" t="n">
        <v>13145200</v>
      </c>
      <c r="B71" s="19" t="n">
        <v>0.4</v>
      </c>
      <c r="C71" s="7" t="n">
        <f>A71*B71/0.6</f>
        <v>8763466.66666667</v>
      </c>
      <c r="D71" s="36" t="n">
        <v>2</v>
      </c>
      <c r="E71" s="6" t="n">
        <f>A71*D71</f>
        <v>26290400</v>
      </c>
      <c r="F71" s="11" t="n">
        <f>C71*D71</f>
        <v>17526933.3333333</v>
      </c>
      <c r="G71" s="12" t="n">
        <f>D71/$B$56</f>
        <v>0.0102564102564103</v>
      </c>
      <c r="H71" s="44" t="s">
        <v>83</v>
      </c>
      <c r="I71" s="9" t="s">
        <v>84</v>
      </c>
      <c r="J71" s="13" t="n">
        <f>A71/5000</f>
        <v>2629.04</v>
      </c>
      <c r="K71" s="13" t="n">
        <f>J71*D71</f>
        <v>5258.08</v>
      </c>
      <c r="R71" s="54" t="n">
        <v>13145200</v>
      </c>
      <c r="S71" s="19" t="n">
        <v>0.4</v>
      </c>
      <c r="T71" s="7" t="n">
        <f>R71*S71/0.6</f>
        <v>8763466.66666667</v>
      </c>
      <c r="U71" s="36" t="n">
        <v>2</v>
      </c>
      <c r="V71" s="6" t="n">
        <f>R71*U71</f>
        <v>26290400</v>
      </c>
      <c r="W71" s="11" t="n">
        <f>T71*U71</f>
        <v>17526933.3333333</v>
      </c>
      <c r="X71" s="12" t="n">
        <f>U71/$S$56</f>
        <v>0.00952380952380953</v>
      </c>
      <c r="Y71" s="44" t="s">
        <v>83</v>
      </c>
      <c r="Z71" s="9" t="s">
        <v>84</v>
      </c>
      <c r="AA71" s="13" t="n">
        <f>R71/5000</f>
        <v>2629.04</v>
      </c>
      <c r="AB71" s="13" t="n">
        <f>AA71*U71</f>
        <v>5258.08</v>
      </c>
    </row>
    <row r="72" ht="16.5" customHeight="1">
      <c r="A72" s="17"/>
      <c r="B72" s="17"/>
      <c r="C72" s="17"/>
      <c r="D72" s="17"/>
      <c r="E72" s="17"/>
      <c r="F72" s="17"/>
      <c r="G72" s="17"/>
      <c r="H72" s="17"/>
      <c r="J72" s="13"/>
      <c r="K72" s="13"/>
      <c r="R72" s="17"/>
      <c r="S72" s="17"/>
      <c r="T72" s="17"/>
      <c r="U72" s="17"/>
      <c r="V72" s="17"/>
      <c r="W72" s="17"/>
      <c r="X72" s="17"/>
      <c r="Y72" s="17"/>
      <c r="AA72" s="13"/>
      <c r="AB72" s="13"/>
    </row>
    <row r="73" ht="16.5" customHeight="1">
      <c r="A73" s="22" t="s">
        <v>21</v>
      </c>
      <c r="B73" s="23" t="n">
        <f>SUM(D64:D71)</f>
        <v>175</v>
      </c>
      <c r="C73" s="24" t="s">
        <v>22</v>
      </c>
      <c r="D73" s="10"/>
      <c r="E73" s="31" t="n">
        <f>SUM(E64:E71)</f>
        <v>130778400</v>
      </c>
      <c r="F73" s="39" t="s">
        <v>23</v>
      </c>
      <c r="G73" s="40"/>
      <c r="H73" s="41" t="n">
        <f>E73/E75</f>
        <v>1.43712527472527</v>
      </c>
      <c r="J73" s="13"/>
      <c r="K73" s="13"/>
      <c r="R73" s="22" t="s">
        <v>21</v>
      </c>
      <c r="S73" s="23" t="n">
        <f>SUM(U64:U71)</f>
        <v>190</v>
      </c>
      <c r="T73" s="24" t="s">
        <v>22</v>
      </c>
      <c r="U73" s="10"/>
      <c r="V73" s="31" t="n">
        <f>SUM(V64:V71)</f>
        <v>133778400</v>
      </c>
      <c r="W73" s="39" t="s">
        <v>23</v>
      </c>
      <c r="X73" s="40"/>
      <c r="Y73" s="41" t="n">
        <f>V73/V75</f>
        <v>1.35403238866397</v>
      </c>
      <c r="AA73" s="13"/>
      <c r="AB73" s="13"/>
    </row>
    <row r="74" ht="16.5" customHeight="1">
      <c r="A74" s="22" t="s">
        <v>24</v>
      </c>
      <c r="B74" s="22" t="n">
        <f>52000*10</f>
        <v>520000</v>
      </c>
      <c r="C74" s="24" t="s">
        <v>25</v>
      </c>
      <c r="D74" s="10"/>
      <c r="E74" s="31" t="n">
        <f>SUM(F64:F71)</f>
        <v>87185600</v>
      </c>
      <c r="F74" s="39" t="s">
        <v>26</v>
      </c>
      <c r="G74" s="40"/>
      <c r="H74" s="41" t="n">
        <f>E74/E75</f>
        <v>0.958083516483517</v>
      </c>
      <c r="J74" s="13"/>
      <c r="K74" s="13"/>
      <c r="R74" s="22" t="s">
        <v>24</v>
      </c>
      <c r="S74" s="22" t="n">
        <f>52000*10</f>
        <v>520000</v>
      </c>
      <c r="T74" s="24" t="s">
        <v>25</v>
      </c>
      <c r="U74" s="10"/>
      <c r="V74" s="31" t="n">
        <f>SUM(W64:W71)</f>
        <v>89185600</v>
      </c>
      <c r="W74" s="39" t="s">
        <v>26</v>
      </c>
      <c r="X74" s="40"/>
      <c r="Y74" s="41" t="n">
        <f>V74/V75</f>
        <v>0.902688259109312</v>
      </c>
      <c r="AA74" s="13"/>
      <c r="AB74" s="13"/>
    </row>
    <row r="75" ht="16.5" customHeight="1">
      <c r="A75" s="15"/>
      <c r="B75" s="15"/>
      <c r="C75" s="24" t="s">
        <v>27</v>
      </c>
      <c r="D75" s="10"/>
      <c r="E75" s="24" t="n">
        <f>B73*B74</f>
        <v>91000000</v>
      </c>
      <c r="F75" s="39" t="s">
        <v>28</v>
      </c>
      <c r="G75" s="40"/>
      <c r="H75" s="41" t="n">
        <f>E75/E74</f>
        <v>1.04375034409352</v>
      </c>
      <c r="J75" s="13"/>
      <c r="K75" s="13"/>
      <c r="R75" s="15"/>
      <c r="S75" s="15"/>
      <c r="T75" s="24" t="s">
        <v>27</v>
      </c>
      <c r="U75" s="10"/>
      <c r="V75" s="24" t="n">
        <f>S73*S74</f>
        <v>98800000</v>
      </c>
      <c r="W75" s="39" t="s">
        <v>28</v>
      </c>
      <c r="X75" s="40"/>
      <c r="Y75" s="41" t="n">
        <f>V75/V74</f>
        <v>1.10780215640193</v>
      </c>
      <c r="AA75" s="13"/>
      <c r="AB75" s="13"/>
    </row>
    <row r="76" ht="16.5" customHeight="1">
      <c r="A76" s="34" t="s">
        <v>63</v>
      </c>
      <c r="H76" s="46" t="n">
        <f>SUM(E64:E66)/(SUM(D64:D66)*B74)</f>
        <v>0.556213017751479</v>
      </c>
      <c r="R76" s="34" t="s">
        <v>63</v>
      </c>
      <c r="Y76" s="46" t="n">
        <f>SUM(V64:V66)/(SUM(U64:U66)*S74)</f>
        <v>0.538461538461538</v>
      </c>
    </row>
  </sheetData>
  <mergeCells count="64">
    <mergeCell ref="F15:G15"/>
    <mergeCell ref="F16:G16"/>
    <mergeCell ref="A1:H1"/>
    <mergeCell ref="A2:H2"/>
    <mergeCell ref="C15:D15"/>
    <mergeCell ref="C16:D16"/>
    <mergeCell ref="C17:D17"/>
    <mergeCell ref="F17:G17"/>
    <mergeCell ref="F35:G35"/>
    <mergeCell ref="F36:G36"/>
    <mergeCell ref="A20:H20"/>
    <mergeCell ref="A21:H21"/>
    <mergeCell ref="C35:D35"/>
    <mergeCell ref="C36:D36"/>
    <mergeCell ref="C37:D37"/>
    <mergeCell ref="F37:G37"/>
    <mergeCell ref="F56:G56"/>
    <mergeCell ref="F57:G57"/>
    <mergeCell ref="A40:H40"/>
    <mergeCell ref="A41:H41"/>
    <mergeCell ref="C56:D56"/>
    <mergeCell ref="C57:D57"/>
    <mergeCell ref="C58:D58"/>
    <mergeCell ref="F58:G58"/>
    <mergeCell ref="F73:G73"/>
    <mergeCell ref="F74:G74"/>
    <mergeCell ref="A61:H61"/>
    <mergeCell ref="A62:H62"/>
    <mergeCell ref="C73:D73"/>
    <mergeCell ref="C74:D74"/>
    <mergeCell ref="C75:D75"/>
    <mergeCell ref="F75:G75"/>
    <mergeCell ref="W15:X15"/>
    <mergeCell ref="W16:X16"/>
    <mergeCell ref="R1:Y1"/>
    <mergeCell ref="R2:Y2"/>
    <mergeCell ref="T15:U15"/>
    <mergeCell ref="T16:U16"/>
    <mergeCell ref="T17:U17"/>
    <mergeCell ref="W17:X17"/>
    <mergeCell ref="W35:X35"/>
    <mergeCell ref="W36:X36"/>
    <mergeCell ref="R20:Y20"/>
    <mergeCell ref="R21:Y21"/>
    <mergeCell ref="T35:U35"/>
    <mergeCell ref="T36:U36"/>
    <mergeCell ref="T37:U37"/>
    <mergeCell ref="W37:X37"/>
    <mergeCell ref="W56:X56"/>
    <mergeCell ref="W57:X57"/>
    <mergeCell ref="R40:Y40"/>
    <mergeCell ref="R41:Y41"/>
    <mergeCell ref="T56:U56"/>
    <mergeCell ref="T57:U57"/>
    <mergeCell ref="T58:U58"/>
    <mergeCell ref="W58:X58"/>
    <mergeCell ref="W73:X73"/>
    <mergeCell ref="W74:X74"/>
    <mergeCell ref="R61:Y61"/>
    <mergeCell ref="R62:Y62"/>
    <mergeCell ref="T73:U73"/>
    <mergeCell ref="T74:U74"/>
    <mergeCell ref="T75:U75"/>
    <mergeCell ref="W75:X7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27.251953125" customWidth="1"/>
  </cols>
  <sheetData>
    <row r="1" ht="16.5" customHeight="1">
      <c r="A1" s="30" t="s">
        <v>85</v>
      </c>
      <c r="B1" s="27"/>
      <c r="C1" s="27"/>
      <c r="D1" s="27"/>
      <c r="E1" s="27"/>
      <c r="F1" s="27"/>
      <c r="G1" s="27"/>
      <c r="H1" s="28"/>
      <c r="O1" s="77" t="s">
        <v>85</v>
      </c>
      <c r="P1" s="79"/>
      <c r="Q1" s="79"/>
      <c r="R1" s="79"/>
      <c r="S1" s="79"/>
      <c r="T1" s="79"/>
      <c r="U1" s="79"/>
      <c r="V1" s="81"/>
    </row>
    <row r="2" ht="16.5" customHeight="1">
      <c r="A2" s="15" t="s">
        <v>86</v>
      </c>
      <c r="B2" s="10"/>
      <c r="C2" s="10"/>
      <c r="D2" s="10"/>
      <c r="E2" s="10"/>
      <c r="F2" s="10"/>
      <c r="G2" s="10"/>
      <c r="H2" s="10"/>
      <c r="O2" s="15" t="s">
        <v>86</v>
      </c>
      <c r="P2" s="10"/>
      <c r="Q2" s="10"/>
      <c r="R2" s="10"/>
      <c r="S2" s="10"/>
      <c r="T2" s="10"/>
      <c r="U2" s="10"/>
      <c r="V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10</v>
      </c>
      <c r="X3" s="9" t="s">
        <v>11</v>
      </c>
      <c r="Y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82" t="n">
        <v>265</v>
      </c>
      <c r="E4" s="6" t="n">
        <f>A4*D4</f>
        <v>265000</v>
      </c>
      <c r="F4" s="11" t="n">
        <f>C4*D4</f>
        <v>176666.666666667</v>
      </c>
      <c r="G4" s="12" t="n">
        <f>D4/$B$18</f>
        <v>0.577342047930283</v>
      </c>
      <c r="H4" s="15" t="s">
        <v>31</v>
      </c>
      <c r="I4" s="5"/>
      <c r="J4" s="13"/>
      <c r="K4" s="13" t="n">
        <v>4</v>
      </c>
      <c r="L4" s="13" t="n">
        <f>K4*D4</f>
        <v>1060</v>
      </c>
      <c r="M4" s="32"/>
      <c r="O4" s="6" t="n">
        <v>1000</v>
      </c>
      <c r="P4" s="19" t="n">
        <v>0.4</v>
      </c>
      <c r="Q4" s="7" t="n">
        <f>O4*P4/0.6</f>
        <v>666.666666666667</v>
      </c>
      <c r="R4" s="82" t="n">
        <v>284</v>
      </c>
      <c r="S4" s="6" t="n">
        <f>O4*R4</f>
        <v>284000</v>
      </c>
      <c r="T4" s="11" t="n">
        <f>Q4*R4</f>
        <v>189333.333333333</v>
      </c>
      <c r="U4" s="12" t="n">
        <f>R4/$P$18</f>
        <v>0.594142259414226</v>
      </c>
      <c r="V4" s="15" t="s">
        <v>31</v>
      </c>
      <c r="W4" s="5"/>
      <c r="X4" s="13"/>
      <c r="Y4" s="13" t="n">
        <v>4</v>
      </c>
      <c r="Z4" s="13" t="n">
        <f>Y4*R4</f>
        <v>1136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100</v>
      </c>
      <c r="E5" s="6" t="n">
        <f>A5*D5</f>
        <v>1000000</v>
      </c>
      <c r="F5" s="11" t="n">
        <f>C5*D5</f>
        <v>666666.666666667</v>
      </c>
      <c r="G5" s="12" t="n">
        <f>D5/$B$18</f>
        <v>0.217864923747277</v>
      </c>
      <c r="H5" s="15" t="s">
        <v>87</v>
      </c>
      <c r="I5" s="35"/>
      <c r="J5" s="13"/>
      <c r="K5" s="13" t="n">
        <f>A5/5000</f>
        <v>2</v>
      </c>
      <c r="L5" s="13" t="n">
        <f>K5*D5</f>
        <v>200</v>
      </c>
      <c r="O5" s="6" t="n">
        <v>10000</v>
      </c>
      <c r="P5" s="19" t="n">
        <v>0.4</v>
      </c>
      <c r="Q5" s="7" t="n">
        <f>O5*P5/0.6</f>
        <v>6666.66666666667</v>
      </c>
      <c r="R5" s="20" t="n">
        <v>100</v>
      </c>
      <c r="S5" s="6" t="n">
        <f>O5*R5</f>
        <v>1000000</v>
      </c>
      <c r="T5" s="11" t="n">
        <f>Q5*R5</f>
        <v>666666.666666667</v>
      </c>
      <c r="U5" s="12" t="n">
        <f>R5/$P$18</f>
        <v>0.209205020920502</v>
      </c>
      <c r="V5" s="15" t="s">
        <v>87</v>
      </c>
      <c r="W5" s="35"/>
      <c r="X5" s="13"/>
      <c r="Y5" s="13" t="n">
        <f>O5/5000</f>
        <v>2</v>
      </c>
      <c r="Z5" s="13" t="n">
        <f>Y5*R5</f>
        <v>200</v>
      </c>
    </row>
    <row r="6" ht="16.5" customHeight="1">
      <c r="A6" s="6"/>
      <c r="B6" s="19"/>
      <c r="C6" s="7"/>
      <c r="D6" s="20"/>
      <c r="E6" s="6"/>
      <c r="F6" s="11"/>
      <c r="G6" s="12"/>
      <c r="H6" s="15"/>
      <c r="I6" s="35"/>
      <c r="J6" s="13"/>
      <c r="K6" s="13" t="n">
        <f>A6/5000</f>
        <v>0</v>
      </c>
      <c r="L6" s="13" t="n">
        <f>K6*D6</f>
        <v>0</v>
      </c>
      <c r="O6" s="6"/>
      <c r="P6" s="19"/>
      <c r="Q6" s="7"/>
      <c r="R6" s="20"/>
      <c r="S6" s="6"/>
      <c r="T6" s="11"/>
      <c r="U6" s="12" t="n">
        <f>R6/$P$18</f>
        <v>0</v>
      </c>
      <c r="V6" s="15"/>
      <c r="W6" s="35"/>
      <c r="X6" s="13"/>
      <c r="Y6" s="13" t="n">
        <f>O6/5000</f>
        <v>0</v>
      </c>
      <c r="Z6" s="13" t="n">
        <f>Y6*R6</f>
        <v>0</v>
      </c>
    </row>
    <row r="7" ht="16.5" customHeight="1">
      <c r="A7" s="6"/>
      <c r="B7" s="19"/>
      <c r="C7" s="7"/>
      <c r="D7" s="20"/>
      <c r="E7" s="6"/>
      <c r="F7" s="11"/>
      <c r="G7" s="12"/>
      <c r="H7" s="15"/>
      <c r="I7" s="48"/>
      <c r="J7" s="13"/>
      <c r="K7" s="13" t="n">
        <f>A7/5000</f>
        <v>0</v>
      </c>
      <c r="L7" s="13" t="n">
        <f>K7*D7</f>
        <v>0</v>
      </c>
      <c r="O7" s="6"/>
      <c r="P7" s="19"/>
      <c r="Q7" s="7"/>
      <c r="R7" s="20"/>
      <c r="S7" s="6"/>
      <c r="T7" s="11"/>
      <c r="U7" s="12" t="n">
        <f>R7/$P$18</f>
        <v>0</v>
      </c>
      <c r="V7" s="15"/>
      <c r="W7" s="48"/>
      <c r="X7" s="13"/>
      <c r="Y7" s="13" t="n">
        <f>O7/5000</f>
        <v>0</v>
      </c>
      <c r="Z7" s="13" t="n">
        <f>Y7*R7</f>
        <v>0</v>
      </c>
    </row>
    <row r="8" ht="16.5" customHeight="1">
      <c r="A8" s="6" t="n">
        <v>52000</v>
      </c>
      <c r="B8" s="19" t="n">
        <v>0.4</v>
      </c>
      <c r="C8" s="7" t="n">
        <f>A8*B8/0.6</f>
        <v>34666.6666666667</v>
      </c>
      <c r="D8" s="20" t="n">
        <v>50</v>
      </c>
      <c r="E8" s="6" t="n">
        <f>A8*D8</f>
        <v>2600000</v>
      </c>
      <c r="F8" s="11" t="n">
        <f>C8*D8</f>
        <v>1733333.33333334</v>
      </c>
      <c r="G8" s="12" t="n">
        <f>D8/$B$18</f>
        <v>0.108932461873638</v>
      </c>
      <c r="H8" s="21" t="s">
        <v>54</v>
      </c>
      <c r="I8" s="48"/>
      <c r="J8" s="13"/>
      <c r="K8" s="13" t="n">
        <f>A8/5000</f>
        <v>10.4</v>
      </c>
      <c r="L8" s="13" t="n">
        <f>K8*D8</f>
        <v>520</v>
      </c>
      <c r="O8" s="6" t="n">
        <v>52000</v>
      </c>
      <c r="P8" s="19" t="n">
        <v>0.4</v>
      </c>
      <c r="Q8" s="7" t="n">
        <f>O8*P8/0.6</f>
        <v>34666.6666666667</v>
      </c>
      <c r="R8" s="20" t="n">
        <v>50</v>
      </c>
      <c r="S8" s="6" t="n">
        <f>O8*R8</f>
        <v>2600000</v>
      </c>
      <c r="T8" s="11" t="n">
        <f>Q8*R8</f>
        <v>1733333.33333334</v>
      </c>
      <c r="U8" s="12" t="n">
        <f>R8/$P$18</f>
        <v>0.104602510460251</v>
      </c>
      <c r="V8" s="21" t="s">
        <v>54</v>
      </c>
      <c r="W8" s="48"/>
      <c r="X8" s="13"/>
      <c r="Y8" s="13" t="n">
        <f>O8/5000</f>
        <v>10.4</v>
      </c>
      <c r="Z8" s="13" t="n">
        <f>Y8*R8</f>
        <v>520</v>
      </c>
    </row>
    <row r="9" ht="16.5" customHeight="1">
      <c r="A9" s="6" t="n">
        <v>100000</v>
      </c>
      <c r="B9" s="19" t="n">
        <v>0.4</v>
      </c>
      <c r="C9" s="7" t="n">
        <f>A9*B9/0.6</f>
        <v>66666.6666666667</v>
      </c>
      <c r="D9" s="20" t="n">
        <v>20</v>
      </c>
      <c r="E9" s="6" t="n">
        <f>A9*D9</f>
        <v>2000000</v>
      </c>
      <c r="F9" s="11" t="n">
        <f>C9*D9</f>
        <v>1333333.33333333</v>
      </c>
      <c r="G9" s="12" t="n">
        <f>D9/$B$18</f>
        <v>0.0435729847494553</v>
      </c>
      <c r="H9" s="15" t="s">
        <v>56</v>
      </c>
      <c r="I9" s="48"/>
      <c r="J9" s="13"/>
      <c r="K9" s="13" t="n">
        <f>A9/5000</f>
        <v>20</v>
      </c>
      <c r="L9" s="13" t="n">
        <f>K9*D9</f>
        <v>400</v>
      </c>
      <c r="O9" s="6" t="n">
        <v>100000</v>
      </c>
      <c r="P9" s="19" t="n">
        <v>0.4</v>
      </c>
      <c r="Q9" s="7" t="n">
        <f>O9*P9/0.6</f>
        <v>66666.6666666667</v>
      </c>
      <c r="R9" s="20" t="n">
        <v>20</v>
      </c>
      <c r="S9" s="6" t="n">
        <f>O9*R9</f>
        <v>2000000</v>
      </c>
      <c r="T9" s="11" t="n">
        <f>Q9*R9</f>
        <v>1333333.33333333</v>
      </c>
      <c r="U9" s="12" t="n">
        <f>R9/$P$18</f>
        <v>0.0418410041841004</v>
      </c>
      <c r="V9" s="15" t="s">
        <v>56</v>
      </c>
      <c r="W9" s="48"/>
      <c r="X9" s="13"/>
      <c r="Y9" s="13" t="n">
        <f>O9/5000</f>
        <v>20</v>
      </c>
      <c r="Z9" s="13" t="n">
        <f>Y9*R9</f>
        <v>400</v>
      </c>
    </row>
    <row r="10" ht="16.5" customHeight="1">
      <c r="A10" s="6" t="n">
        <v>100000</v>
      </c>
      <c r="B10" s="19" t="n">
        <v>0.4</v>
      </c>
      <c r="C10" s="7" t="n">
        <f>A10*B10/0.6</f>
        <v>66666.6666666667</v>
      </c>
      <c r="D10" s="20" t="n">
        <v>20</v>
      </c>
      <c r="E10" s="6" t="n">
        <f>A10*D10</f>
        <v>2000000</v>
      </c>
      <c r="F10" s="11" t="n">
        <f>C10*D10</f>
        <v>1333333.33333333</v>
      </c>
      <c r="G10" s="12" t="n">
        <f>D10/$B$18</f>
        <v>0.0435729847494553</v>
      </c>
      <c r="H10" s="15" t="s">
        <v>57</v>
      </c>
      <c r="I10" s="48"/>
      <c r="J10" s="13"/>
      <c r="K10" s="13" t="n">
        <f>A10/5000</f>
        <v>20</v>
      </c>
      <c r="L10" s="13" t="n">
        <f>K10*D10</f>
        <v>400</v>
      </c>
      <c r="O10" s="6" t="n">
        <v>100000</v>
      </c>
      <c r="P10" s="19" t="n">
        <v>0.4</v>
      </c>
      <c r="Q10" s="7" t="n">
        <f>O10*P10/0.6</f>
        <v>66666.6666666667</v>
      </c>
      <c r="R10" s="20" t="n">
        <v>20</v>
      </c>
      <c r="S10" s="6" t="n">
        <f>O10*R10</f>
        <v>2000000</v>
      </c>
      <c r="T10" s="11" t="n">
        <f>Q10*R10</f>
        <v>1333333.33333333</v>
      </c>
      <c r="U10" s="12" t="n">
        <f>R10/$P$18</f>
        <v>0.0418410041841004</v>
      </c>
      <c r="V10" s="15" t="s">
        <v>57</v>
      </c>
      <c r="W10" s="48"/>
      <c r="X10" s="13"/>
      <c r="Y10" s="13" t="n">
        <f>O10/5000</f>
        <v>20</v>
      </c>
      <c r="Z10" s="13" t="n">
        <f>Y10*R10</f>
        <v>400</v>
      </c>
    </row>
    <row r="11" ht="16.5" customHeight="1">
      <c r="A11" s="6"/>
      <c r="B11" s="19"/>
      <c r="C11" s="7"/>
      <c r="D11" s="20"/>
      <c r="E11" s="6"/>
      <c r="F11" s="11"/>
      <c r="G11" s="12"/>
      <c r="H11" s="15"/>
      <c r="I11" s="48"/>
      <c r="J11" s="13"/>
      <c r="K11" s="13" t="n">
        <f>A11/5000</f>
        <v>0</v>
      </c>
      <c r="L11" s="13" t="n">
        <f>K11*D11</f>
        <v>0</v>
      </c>
      <c r="O11" s="6"/>
      <c r="P11" s="19"/>
      <c r="Q11" s="7"/>
      <c r="R11" s="20"/>
      <c r="S11" s="6"/>
      <c r="T11" s="11"/>
      <c r="U11" s="12" t="n">
        <f>R11/$P$18</f>
        <v>0</v>
      </c>
      <c r="V11" s="15"/>
      <c r="W11" s="48"/>
      <c r="X11" s="13"/>
      <c r="Y11" s="13" t="n">
        <f>O11/5000</f>
        <v>0</v>
      </c>
      <c r="Z11" s="13" t="n">
        <f>Y11*R11</f>
        <v>0</v>
      </c>
    </row>
    <row r="12" ht="16.5" customHeight="1">
      <c r="A12" s="6" t="n">
        <v>520000</v>
      </c>
      <c r="B12" s="19" t="n">
        <v>0.4</v>
      </c>
      <c r="C12" s="7" t="n">
        <f>A12*B12/0.6</f>
        <v>346666.666666667</v>
      </c>
      <c r="D12" s="20" t="n">
        <v>2</v>
      </c>
      <c r="E12" s="6" t="n">
        <f>A12*D12</f>
        <v>1040000</v>
      </c>
      <c r="F12" s="11" t="n">
        <f>C12*D12</f>
        <v>693333.333333334</v>
      </c>
      <c r="G12" s="12" t="n">
        <f>D12/$B$18</f>
        <v>0.00435729847494553</v>
      </c>
      <c r="H12" s="15" t="s">
        <v>88</v>
      </c>
      <c r="I12" s="48"/>
      <c r="J12" s="13"/>
      <c r="K12" s="13" t="n">
        <f>A12/5000</f>
        <v>104</v>
      </c>
      <c r="L12" s="13" t="n">
        <f>K12*D12</f>
        <v>208</v>
      </c>
      <c r="O12" s="6" t="n">
        <v>520000</v>
      </c>
      <c r="P12" s="19" t="n">
        <v>0.4</v>
      </c>
      <c r="Q12" s="7" t="n">
        <f>O12*P12/0.6</f>
        <v>346666.666666667</v>
      </c>
      <c r="R12" s="20" t="n">
        <v>2</v>
      </c>
      <c r="S12" s="6" t="n">
        <f>O12*R12</f>
        <v>1040000</v>
      </c>
      <c r="T12" s="11" t="n">
        <f>Q12*R12</f>
        <v>693333.333333334</v>
      </c>
      <c r="U12" s="12" t="n">
        <f>R12/$P$18</f>
        <v>0.00418410041841004</v>
      </c>
      <c r="V12" s="15" t="s">
        <v>88</v>
      </c>
      <c r="W12" s="48"/>
      <c r="X12" s="13"/>
      <c r="Y12" s="13" t="n">
        <f>O12/5000</f>
        <v>104</v>
      </c>
      <c r="Z12" s="13" t="n">
        <f>Y12*R12</f>
        <v>208</v>
      </c>
    </row>
    <row r="13" ht="16.5" customHeight="1">
      <c r="A13" s="6" t="n">
        <v>2000000</v>
      </c>
      <c r="B13" s="19" t="n">
        <v>0.4</v>
      </c>
      <c r="C13" s="7" t="n">
        <f>A13*B13/0.6</f>
        <v>1333333.33333333</v>
      </c>
      <c r="D13" s="20" t="n">
        <v>2</v>
      </c>
      <c r="E13" s="6" t="n">
        <f>A13*D13</f>
        <v>4000000</v>
      </c>
      <c r="F13" s="11" t="n">
        <f>C13*D13</f>
        <v>2666666.66666666</v>
      </c>
      <c r="G13" s="12" t="n">
        <f>D13/$B$18</f>
        <v>0.00435729847494553</v>
      </c>
      <c r="H13" s="15" t="s">
        <v>89</v>
      </c>
      <c r="I13" s="35"/>
      <c r="J13" s="13" t="s">
        <v>43</v>
      </c>
      <c r="K13" s="13" t="n">
        <f>A13/5000</f>
        <v>400</v>
      </c>
      <c r="L13" s="13" t="n">
        <f>K13*D13</f>
        <v>800</v>
      </c>
      <c r="O13" s="6" t="n">
        <v>2000000</v>
      </c>
      <c r="P13" s="19" t="n">
        <v>0.4</v>
      </c>
      <c r="Q13" s="7" t="n">
        <f>O13*P13/0.6</f>
        <v>1333333.33333333</v>
      </c>
      <c r="R13" s="20" t="n">
        <v>2</v>
      </c>
      <c r="S13" s="6" t="n">
        <f>O13*R13</f>
        <v>4000000</v>
      </c>
      <c r="T13" s="11" t="n">
        <f>Q13*R13</f>
        <v>2666666.66666666</v>
      </c>
      <c r="U13" s="12" t="n">
        <f>R13/$P$18</f>
        <v>0.00418410041841004</v>
      </c>
      <c r="V13" s="15" t="s">
        <v>89</v>
      </c>
      <c r="W13" s="35"/>
      <c r="X13" s="13" t="s">
        <v>43</v>
      </c>
      <c r="Y13" s="13" t="n">
        <f>O13/5000</f>
        <v>400</v>
      </c>
      <c r="Z13" s="13" t="n">
        <f>Y13*R13</f>
        <v>800</v>
      </c>
    </row>
    <row r="14" ht="16.5" customHeight="1">
      <c r="A14" s="6"/>
      <c r="B14" s="19" t="n">
        <v>0.4</v>
      </c>
      <c r="C14" s="7" t="n">
        <f>A14*B14/0.6</f>
        <v>0</v>
      </c>
      <c r="D14" s="20" t="n">
        <v>0</v>
      </c>
      <c r="E14" s="6" t="n">
        <f>A14*D14</f>
        <v>0</v>
      </c>
      <c r="F14" s="11" t="n">
        <f>C14*D14</f>
        <v>0</v>
      </c>
      <c r="G14" s="12" t="n">
        <f>D14/$B$18</f>
        <v>0</v>
      </c>
      <c r="H14" s="15"/>
      <c r="I14" s="48"/>
      <c r="J14" s="13"/>
      <c r="K14" s="13" t="n">
        <f>A14/5000</f>
        <v>0</v>
      </c>
      <c r="L14" s="13" t="n">
        <f>K14*D14</f>
        <v>0</v>
      </c>
      <c r="O14" s="6"/>
      <c r="P14" s="19" t="n">
        <v>0.4</v>
      </c>
      <c r="Q14" s="7" t="n">
        <f>O14*P14/0.6</f>
        <v>0</v>
      </c>
      <c r="R14" s="20" t="n">
        <v>0</v>
      </c>
      <c r="S14" s="6" t="n">
        <f>O14*R14</f>
        <v>0</v>
      </c>
      <c r="T14" s="11" t="n">
        <f>Q14*R14</f>
        <v>0</v>
      </c>
      <c r="U14" s="12" t="n">
        <f>R14/$P$18</f>
        <v>0</v>
      </c>
      <c r="V14" s="15"/>
      <c r="W14" s="48"/>
      <c r="X14" s="13"/>
      <c r="Y14" s="13" t="n">
        <f>O14/5000</f>
        <v>0</v>
      </c>
      <c r="Z14" s="13" t="n">
        <f>Y14*R14</f>
        <v>0</v>
      </c>
    </row>
    <row r="15" ht="16.5" customHeight="1">
      <c r="A15" s="6"/>
      <c r="B15" s="19" t="n">
        <v>0.4</v>
      </c>
      <c r="C15" s="7" t="n">
        <f>A15*B15/0.6</f>
        <v>0</v>
      </c>
      <c r="D15" s="20" t="n">
        <v>0</v>
      </c>
      <c r="E15" s="6" t="n">
        <f>A15*D15</f>
        <v>0</v>
      </c>
      <c r="F15" s="11" t="n">
        <f>C15*D15</f>
        <v>0</v>
      </c>
      <c r="G15" s="12" t="n">
        <f>D15/$B$18</f>
        <v>0</v>
      </c>
      <c r="H15" s="15"/>
      <c r="I15" s="35"/>
      <c r="J15" s="13"/>
      <c r="K15" s="13" t="n">
        <f>A15/5000</f>
        <v>0</v>
      </c>
      <c r="L15" s="13" t="n">
        <f>K15*D15</f>
        <v>0</v>
      </c>
      <c r="O15" s="6"/>
      <c r="P15" s="19" t="n">
        <v>0.4</v>
      </c>
      <c r="Q15" s="7" t="n">
        <f>O15*P15/0.6</f>
        <v>0</v>
      </c>
      <c r="R15" s="20" t="n">
        <v>0</v>
      </c>
      <c r="S15" s="6" t="n">
        <f>O15*R15</f>
        <v>0</v>
      </c>
      <c r="T15" s="11" t="n">
        <f>Q15*R15</f>
        <v>0</v>
      </c>
      <c r="U15" s="12" t="n">
        <f>R15/$P$18</f>
        <v>0</v>
      </c>
      <c r="V15" s="15"/>
      <c r="W15" s="35"/>
      <c r="X15" s="13"/>
      <c r="Y15" s="13" t="n">
        <f>O15/5000</f>
        <v>0</v>
      </c>
      <c r="Z15" s="13" t="n">
        <f>Y15*R15</f>
        <v>0</v>
      </c>
    </row>
    <row r="16" ht="16.5" customHeight="1">
      <c r="A16" s="6"/>
      <c r="B16" s="19" t="n">
        <v>0.4</v>
      </c>
      <c r="C16" s="7" t="n">
        <f>A16*B16/0.6</f>
        <v>0</v>
      </c>
      <c r="D16" s="20" t="n">
        <v>0</v>
      </c>
      <c r="E16" s="6" t="n">
        <f>A16*D16</f>
        <v>0</v>
      </c>
      <c r="F16" s="11" t="n">
        <f>C16*D16</f>
        <v>0</v>
      </c>
      <c r="G16" s="12" t="n">
        <f>D16/$B$18</f>
        <v>0</v>
      </c>
      <c r="H16" s="15"/>
      <c r="I16" s="48"/>
      <c r="J16" s="13"/>
      <c r="K16" s="13" t="n">
        <f>A16/5000</f>
        <v>0</v>
      </c>
      <c r="L16" s="13" t="n">
        <f>K16*D16</f>
        <v>0</v>
      </c>
      <c r="O16" s="6"/>
      <c r="P16" s="19" t="n">
        <v>0.4</v>
      </c>
      <c r="Q16" s="7" t="n">
        <f>O16*P16/0.6</f>
        <v>0</v>
      </c>
      <c r="R16" s="20" t="n">
        <v>0</v>
      </c>
      <c r="S16" s="6" t="n">
        <f>O16*R16</f>
        <v>0</v>
      </c>
      <c r="T16" s="11" t="n">
        <f>Q16*R16</f>
        <v>0</v>
      </c>
      <c r="U16" s="12" t="n">
        <f>R16/$P$18</f>
        <v>0</v>
      </c>
      <c r="V16" s="15"/>
      <c r="W16" s="48"/>
      <c r="X16" s="13"/>
      <c r="Y16" s="13" t="n">
        <f>O16/5000</f>
        <v>0</v>
      </c>
      <c r="Z16" s="13" t="n">
        <f>Y16*R16</f>
        <v>0</v>
      </c>
    </row>
    <row r="17" ht="16.5" customHeight="1">
      <c r="A17" s="17"/>
      <c r="B17" s="17"/>
      <c r="C17" s="17"/>
      <c r="D17" s="17"/>
      <c r="E17" s="17"/>
      <c r="F17" s="17"/>
      <c r="G17" s="17"/>
      <c r="H17" s="17"/>
      <c r="O17" s="17"/>
      <c r="P17" s="17"/>
      <c r="Q17" s="17"/>
      <c r="R17" s="17"/>
      <c r="S17" s="17"/>
      <c r="T17" s="17"/>
      <c r="U17" s="17"/>
      <c r="V17" s="17"/>
    </row>
    <row r="18" ht="16.5" customHeight="1">
      <c r="A18" s="22" t="s">
        <v>21</v>
      </c>
      <c r="B18" s="23" t="n">
        <f>SUM(D4:D16)</f>
        <v>459</v>
      </c>
      <c r="C18" s="24" t="s">
        <v>22</v>
      </c>
      <c r="D18" s="10"/>
      <c r="E18" s="31" t="n">
        <f>SUM(E4:E16)</f>
        <v>12905000</v>
      </c>
      <c r="F18" s="39" t="s">
        <v>23</v>
      </c>
      <c r="G18" s="40"/>
      <c r="H18" s="41" t="n">
        <f>E18/E20</f>
        <v>1.4057734204793</v>
      </c>
      <c r="O18" s="22" t="s">
        <v>21</v>
      </c>
      <c r="P18" s="23" t="n">
        <f>SUM(R4:R16)</f>
        <v>478</v>
      </c>
      <c r="Q18" s="24" t="s">
        <v>22</v>
      </c>
      <c r="R18" s="10"/>
      <c r="S18" s="31" t="n">
        <f>SUM(S4:S16)</f>
        <v>12924000</v>
      </c>
      <c r="T18" s="39" t="s">
        <v>23</v>
      </c>
      <c r="U18" s="40"/>
      <c r="V18" s="41" t="n">
        <f>S18/S20</f>
        <v>1.35188284518828</v>
      </c>
    </row>
    <row r="19" ht="16.5" customHeight="1">
      <c r="A19" s="22" t="s">
        <v>24</v>
      </c>
      <c r="B19" s="22" t="n">
        <v>20000</v>
      </c>
      <c r="C19" s="24" t="s">
        <v>25</v>
      </c>
      <c r="D19" s="10"/>
      <c r="E19" s="31" t="n">
        <f>SUM(F4:F16)</f>
        <v>8603333.33333333</v>
      </c>
      <c r="F19" s="39" t="s">
        <v>26</v>
      </c>
      <c r="G19" s="40"/>
      <c r="H19" s="41" t="n">
        <f>E19/E20</f>
        <v>0.937182280319535</v>
      </c>
      <c r="O19" s="22" t="s">
        <v>24</v>
      </c>
      <c r="P19" s="22" t="n">
        <v>20000</v>
      </c>
      <c r="Q19" s="24" t="s">
        <v>25</v>
      </c>
      <c r="R19" s="10"/>
      <c r="S19" s="31" t="n">
        <f>SUM(T4:T16)</f>
        <v>8615999.99999999</v>
      </c>
      <c r="T19" s="39" t="s">
        <v>26</v>
      </c>
      <c r="U19" s="40"/>
      <c r="V19" s="41" t="n">
        <f>S19/S20</f>
        <v>0.901255230125522</v>
      </c>
    </row>
    <row r="20" ht="16.5" customHeight="1">
      <c r="A20" s="15"/>
      <c r="B20" s="15"/>
      <c r="C20" s="24" t="s">
        <v>27</v>
      </c>
      <c r="D20" s="10"/>
      <c r="E20" s="8" t="n">
        <f>B18*B19</f>
        <v>9180000</v>
      </c>
      <c r="F20" s="39" t="s">
        <v>28</v>
      </c>
      <c r="G20" s="40"/>
      <c r="H20" s="41" t="n">
        <f>E20/E19</f>
        <v>1.067028283611</v>
      </c>
      <c r="O20" s="15"/>
      <c r="P20" s="15"/>
      <c r="Q20" s="24" t="s">
        <v>27</v>
      </c>
      <c r="R20" s="10"/>
      <c r="S20" s="8" t="n">
        <f>P18*P19</f>
        <v>9560000</v>
      </c>
      <c r="T20" s="39" t="s">
        <v>28</v>
      </c>
      <c r="U20" s="40"/>
      <c r="V20" s="41" t="n">
        <f>S20/S19</f>
        <v>1.10956360259982</v>
      </c>
    </row>
    <row r="21" ht="16.5" customHeight="1">
      <c r="A21" s="9" t="s">
        <v>51</v>
      </c>
      <c r="B21" s="34" t="s">
        <v>90</v>
      </c>
      <c r="H21" s="5" t="n">
        <f>100*B19*(1.45-H18)</f>
        <v>88453.1590414</v>
      </c>
      <c r="O21" s="9" t="s">
        <v>51</v>
      </c>
      <c r="P21" s="34" t="s">
        <v>90</v>
      </c>
      <c r="V21" s="5" t="n">
        <f>100*P19*(1.45-V18)</f>
        <v>196234.30962344</v>
      </c>
    </row>
    <row r="22" ht="16.5" customHeight="1">
      <c r="A22" s="9" t="s">
        <v>64</v>
      </c>
      <c r="B22" s="34" t="s">
        <v>91</v>
      </c>
      <c r="O22" s="9" t="s">
        <v>64</v>
      </c>
      <c r="P22" s="34" t="s">
        <v>91</v>
      </c>
    </row>
    <row r="23" ht="16.5" customHeight="1">
      <c r="A23" s="9" t="s">
        <v>74</v>
      </c>
      <c r="B23" s="34" t="s">
        <v>91</v>
      </c>
      <c r="O23" s="9" t="s">
        <v>74</v>
      </c>
      <c r="P23" s="34" t="s">
        <v>91</v>
      </c>
    </row>
    <row r="24" ht="16.5" customHeight="1">
      <c r="A24" s="9" t="s">
        <v>77</v>
      </c>
      <c r="B24" s="34" t="s">
        <v>91</v>
      </c>
      <c r="O24" s="9" t="s">
        <v>77</v>
      </c>
      <c r="P24" s="34" t="s">
        <v>91</v>
      </c>
    </row>
    <row r="25" ht="16.5" customHeight="1">
      <c r="A25" s="9" t="s">
        <v>77</v>
      </c>
      <c r="B25" s="34" t="s">
        <v>91</v>
      </c>
      <c r="O25" s="9" t="s">
        <v>77</v>
      </c>
      <c r="P25" s="34" t="s">
        <v>91</v>
      </c>
    </row>
    <row r="27" ht="16.5" customHeight="1">
      <c r="A27" s="30" t="s">
        <v>92</v>
      </c>
      <c r="B27" s="27"/>
      <c r="C27" s="27"/>
      <c r="D27" s="27"/>
      <c r="E27" s="27"/>
      <c r="F27" s="27"/>
      <c r="G27" s="27"/>
      <c r="H27" s="28"/>
      <c r="O27" s="77" t="s">
        <v>92</v>
      </c>
      <c r="P27" s="79"/>
      <c r="Q27" s="79"/>
      <c r="R27" s="79"/>
      <c r="S27" s="79"/>
      <c r="T27" s="79"/>
      <c r="U27" s="79"/>
      <c r="V27" s="81"/>
    </row>
    <row r="28" ht="16.5" customHeight="1">
      <c r="A28" s="15" t="s">
        <v>93</v>
      </c>
      <c r="B28" s="10"/>
      <c r="C28" s="10"/>
      <c r="D28" s="10"/>
      <c r="E28" s="10"/>
      <c r="F28" s="10"/>
      <c r="G28" s="10"/>
      <c r="H28" s="10"/>
      <c r="O28" s="15" t="s">
        <v>93</v>
      </c>
      <c r="P28" s="10"/>
      <c r="Q28" s="10"/>
      <c r="R28" s="10"/>
      <c r="S28" s="10"/>
      <c r="T28" s="10"/>
      <c r="U28" s="10"/>
      <c r="V28" s="10"/>
    </row>
    <row r="29" ht="16.5" customHeight="1">
      <c r="A29" s="17" t="s">
        <v>2</v>
      </c>
      <c r="B29" s="15" t="s">
        <v>3</v>
      </c>
      <c r="C29" s="18" t="s">
        <v>4</v>
      </c>
      <c r="D29" s="20" t="s">
        <v>5</v>
      </c>
      <c r="E29" s="17" t="s">
        <v>6</v>
      </c>
      <c r="F29" s="15" t="s">
        <v>7</v>
      </c>
      <c r="G29" s="15" t="s">
        <v>8</v>
      </c>
      <c r="H29" s="17" t="s">
        <v>9</v>
      </c>
      <c r="I29" s="9" t="s">
        <v>10</v>
      </c>
      <c r="J29" s="9" t="s">
        <v>11</v>
      </c>
      <c r="K29" s="9" t="s">
        <v>12</v>
      </c>
      <c r="O29" s="17" t="s">
        <v>2</v>
      </c>
      <c r="P29" s="15" t="s">
        <v>3</v>
      </c>
      <c r="Q29" s="18" t="s">
        <v>4</v>
      </c>
      <c r="R29" s="20" t="s">
        <v>5</v>
      </c>
      <c r="S29" s="17" t="s">
        <v>6</v>
      </c>
      <c r="T29" s="15" t="s">
        <v>7</v>
      </c>
      <c r="U29" s="15" t="s">
        <v>8</v>
      </c>
      <c r="V29" s="17" t="s">
        <v>9</v>
      </c>
      <c r="W29" s="9" t="s">
        <v>10</v>
      </c>
      <c r="X29" s="9" t="s">
        <v>11</v>
      </c>
      <c r="Y29" s="9" t="s">
        <v>12</v>
      </c>
    </row>
    <row r="30" ht="16.5" customHeight="1">
      <c r="A30" s="6" t="n">
        <v>1000</v>
      </c>
      <c r="B30" s="19" t="n">
        <v>0.4</v>
      </c>
      <c r="C30" s="7" t="n">
        <f>A30*B30/0.6</f>
        <v>666.666666666667</v>
      </c>
      <c r="D30" s="20" t="n">
        <v>0</v>
      </c>
      <c r="E30" s="6" t="n">
        <f>A30*D30</f>
        <v>0</v>
      </c>
      <c r="F30" s="11" t="n">
        <f>C30*D30</f>
        <v>0</v>
      </c>
      <c r="G30" s="12" t="n">
        <f>D30/$B$46</f>
        <v>0</v>
      </c>
      <c r="H30" s="15"/>
      <c r="I30" s="5"/>
      <c r="J30" s="13"/>
      <c r="K30" s="13" t="n">
        <v>4</v>
      </c>
      <c r="L30" s="13" t="n">
        <f>K30*D30</f>
        <v>0</v>
      </c>
      <c r="O30" s="6" t="n">
        <v>1000</v>
      </c>
      <c r="P30" s="19" t="n">
        <v>0.4</v>
      </c>
      <c r="Q30" s="7" t="n">
        <f>O30*P30/0.6</f>
        <v>666.666666666667</v>
      </c>
      <c r="R30" s="20" t="n">
        <v>0</v>
      </c>
      <c r="S30" s="6" t="n">
        <f>O30*R30</f>
        <v>0</v>
      </c>
      <c r="T30" s="11" t="n">
        <f>Q30*R30</f>
        <v>0</v>
      </c>
      <c r="U30" s="12" t="n">
        <f>R30/$P$46</f>
        <v>0</v>
      </c>
      <c r="V30" s="15"/>
      <c r="W30" s="5"/>
      <c r="X30" s="13"/>
      <c r="Y30" s="13" t="n">
        <v>4</v>
      </c>
      <c r="Z30" s="13" t="n">
        <f>Y30*R30</f>
        <v>0</v>
      </c>
    </row>
    <row r="31" ht="16.5" customHeight="1">
      <c r="A31" s="6" t="n">
        <v>5000</v>
      </c>
      <c r="B31" s="19" t="n">
        <v>0.4</v>
      </c>
      <c r="C31" s="7" t="n">
        <f>A31*B31/0.6</f>
        <v>3333.33333333333</v>
      </c>
      <c r="D31" s="76" t="n">
        <v>450</v>
      </c>
      <c r="E31" s="6" t="n">
        <f>A31*D31</f>
        <v>2250000</v>
      </c>
      <c r="F31" s="11" t="n">
        <f>C31*D31</f>
        <v>1500000</v>
      </c>
      <c r="G31" s="12" t="n">
        <f>D31/$B$46</f>
        <v>0.844277673545966</v>
      </c>
      <c r="H31" s="15" t="s">
        <v>94</v>
      </c>
      <c r="I31" s="35"/>
      <c r="J31" s="13"/>
      <c r="K31" s="13" t="n">
        <f>A31/5000</f>
        <v>1</v>
      </c>
      <c r="L31" s="13" t="n">
        <f>K31*D31</f>
        <v>450</v>
      </c>
      <c r="O31" s="6" t="n">
        <v>5000</v>
      </c>
      <c r="P31" s="19" t="n">
        <v>0.4</v>
      </c>
      <c r="Q31" s="7" t="n">
        <f>O31*P31/0.6</f>
        <v>3333.33333333333</v>
      </c>
      <c r="R31" s="83" t="n">
        <v>480</v>
      </c>
      <c r="S31" s="6" t="n">
        <f>O31*R31</f>
        <v>2400000</v>
      </c>
      <c r="T31" s="11" t="n">
        <f>Q31*R31</f>
        <v>1600000</v>
      </c>
      <c r="U31" s="12" t="n">
        <f>R31/$P$46</f>
        <v>0.852575488454707</v>
      </c>
      <c r="V31" s="15" t="s">
        <v>94</v>
      </c>
      <c r="W31" s="35"/>
      <c r="X31" s="13"/>
      <c r="Y31" s="13" t="n">
        <f>O31/5000</f>
        <v>1</v>
      </c>
      <c r="Z31" s="13" t="n">
        <f>Y31*R31</f>
        <v>480</v>
      </c>
    </row>
    <row r="32" ht="16.5" customHeight="1">
      <c r="A32" s="6" t="n">
        <v>15000</v>
      </c>
      <c r="B32" s="19" t="n">
        <v>0.4</v>
      </c>
      <c r="C32" s="7" t="n">
        <f>A32*B32/0.6</f>
        <v>10000</v>
      </c>
      <c r="D32" s="20" t="n">
        <v>0</v>
      </c>
      <c r="E32" s="6" t="n">
        <f>A32*D32</f>
        <v>0</v>
      </c>
      <c r="F32" s="11" t="n">
        <f>C32*D32</f>
        <v>0</v>
      </c>
      <c r="G32" s="12" t="n">
        <f>D32/$B$46</f>
        <v>0</v>
      </c>
      <c r="H32" s="15"/>
      <c r="I32" s="35"/>
      <c r="J32" s="13"/>
      <c r="K32" s="13" t="n">
        <f>A32/5000</f>
        <v>3</v>
      </c>
      <c r="L32" s="13" t="n">
        <f>K32*D32</f>
        <v>0</v>
      </c>
      <c r="O32" s="6" t="n">
        <v>15000</v>
      </c>
      <c r="P32" s="19" t="n">
        <v>0.4</v>
      </c>
      <c r="Q32" s="7" t="n">
        <f>O32*P32/0.6</f>
        <v>10000</v>
      </c>
      <c r="R32" s="20" t="n">
        <v>0</v>
      </c>
      <c r="S32" s="6" t="n">
        <f>O32*R32</f>
        <v>0</v>
      </c>
      <c r="T32" s="11" t="n">
        <f>Q32*R32</f>
        <v>0</v>
      </c>
      <c r="U32" s="12" t="n">
        <f>R32/$P$46</f>
        <v>0</v>
      </c>
      <c r="V32" s="15"/>
      <c r="W32" s="35"/>
      <c r="X32" s="13"/>
      <c r="Y32" s="13" t="n">
        <f>O32/5000</f>
        <v>3</v>
      </c>
      <c r="Z32" s="13" t="n">
        <f>Y32*R32</f>
        <v>0</v>
      </c>
    </row>
    <row r="33" ht="16.5" customHeight="1">
      <c r="A33" s="6" t="n">
        <v>30000</v>
      </c>
      <c r="B33" s="19" t="n">
        <v>0.4</v>
      </c>
      <c r="C33" s="7" t="n">
        <f>A33*B33/0.6</f>
        <v>20000</v>
      </c>
      <c r="D33" s="20" t="n">
        <v>0</v>
      </c>
      <c r="E33" s="6" t="n">
        <f>A33*D33</f>
        <v>0</v>
      </c>
      <c r="F33" s="11" t="n">
        <f>C33*D33</f>
        <v>0</v>
      </c>
      <c r="G33" s="12" t="n">
        <f>D33/$B$46</f>
        <v>0</v>
      </c>
      <c r="H33" s="15"/>
      <c r="I33" s="48"/>
      <c r="J33" s="13"/>
      <c r="K33" s="13" t="n">
        <f>A33/5000</f>
        <v>6</v>
      </c>
      <c r="L33" s="13" t="n">
        <f>K33*D33</f>
        <v>0</v>
      </c>
      <c r="O33" s="6" t="n">
        <v>30000</v>
      </c>
      <c r="P33" s="19" t="n">
        <v>0.4</v>
      </c>
      <c r="Q33" s="7" t="n">
        <f>O33*P33/0.6</f>
        <v>20000</v>
      </c>
      <c r="R33" s="20" t="n">
        <v>0</v>
      </c>
      <c r="S33" s="6" t="n">
        <f>O33*R33</f>
        <v>0</v>
      </c>
      <c r="T33" s="11" t="n">
        <f>Q33*R33</f>
        <v>0</v>
      </c>
      <c r="U33" s="12" t="n">
        <f>R33/$P$46</f>
        <v>0</v>
      </c>
      <c r="V33" s="15"/>
      <c r="W33" s="48"/>
      <c r="X33" s="13"/>
      <c r="Y33" s="13" t="n">
        <f>O33/5000</f>
        <v>6</v>
      </c>
      <c r="Z33" s="13" t="n">
        <f>Y33*R33</f>
        <v>0</v>
      </c>
    </row>
    <row r="34" ht="16.5" customHeight="1">
      <c r="A34" s="6" t="n">
        <v>52000</v>
      </c>
      <c r="B34" s="19" t="n">
        <v>0.4</v>
      </c>
      <c r="C34" s="7" t="n">
        <f>A34*B34/0.6</f>
        <v>34666.6666666667</v>
      </c>
      <c r="D34" s="20" t="n">
        <v>60</v>
      </c>
      <c r="E34" s="6" t="n">
        <f>A34*D34</f>
        <v>3120000</v>
      </c>
      <c r="F34" s="11" t="n">
        <f>C34*D34</f>
        <v>2080000</v>
      </c>
      <c r="G34" s="12" t="n">
        <f>D34/$B$46</f>
        <v>0.112570356472796</v>
      </c>
      <c r="H34" s="21" t="s">
        <v>54</v>
      </c>
      <c r="I34" s="48"/>
      <c r="J34" s="13"/>
      <c r="K34" s="13" t="n">
        <f>A34/5000</f>
        <v>10.4</v>
      </c>
      <c r="L34" s="13" t="n">
        <f>K34*D34</f>
        <v>624</v>
      </c>
      <c r="O34" s="6" t="n">
        <v>52000</v>
      </c>
      <c r="P34" s="19" t="n">
        <v>0.4</v>
      </c>
      <c r="Q34" s="7" t="n">
        <f>O34*P34/0.6</f>
        <v>34666.6666666667</v>
      </c>
      <c r="R34" s="20" t="n">
        <v>60</v>
      </c>
      <c r="S34" s="6" t="n">
        <f>O34*R34</f>
        <v>3120000</v>
      </c>
      <c r="T34" s="11" t="n">
        <f>Q34*R34</f>
        <v>2080000</v>
      </c>
      <c r="U34" s="12" t="n">
        <f>R34/$P$46</f>
        <v>0.106571936056838</v>
      </c>
      <c r="V34" s="21" t="s">
        <v>54</v>
      </c>
      <c r="W34" s="48"/>
      <c r="X34" s="13"/>
      <c r="Y34" s="13" t="n">
        <f>O34/5000</f>
        <v>10.4</v>
      </c>
      <c r="Z34" s="13" t="n">
        <f>Y34*R34</f>
        <v>624</v>
      </c>
    </row>
    <row r="35" ht="16.5" customHeight="1">
      <c r="A35" s="6" t="n">
        <v>100000</v>
      </c>
      <c r="B35" s="19" t="n">
        <v>0.4</v>
      </c>
      <c r="C35" s="7" t="n">
        <f>A35*B35/0.6</f>
        <v>66666.6666666667</v>
      </c>
      <c r="D35" s="20" t="n">
        <v>0</v>
      </c>
      <c r="E35" s="6" t="n">
        <f>A35*D35</f>
        <v>0</v>
      </c>
      <c r="F35" s="11" t="n">
        <f>C35*D35</f>
        <v>0</v>
      </c>
      <c r="G35" s="12" t="n">
        <f>D35/$B$46</f>
        <v>0</v>
      </c>
      <c r="H35" s="15"/>
      <c r="I35" s="48"/>
      <c r="J35" s="13"/>
      <c r="K35" s="13" t="n">
        <f>A35/5000</f>
        <v>20</v>
      </c>
      <c r="L35" s="13" t="n">
        <f>K35*D35</f>
        <v>0</v>
      </c>
      <c r="O35" s="6" t="n">
        <v>100000</v>
      </c>
      <c r="P35" s="19" t="n">
        <v>0.4</v>
      </c>
      <c r="Q35" s="7" t="n">
        <f>O35*P35/0.6</f>
        <v>66666.6666666667</v>
      </c>
      <c r="R35" s="20" t="n">
        <v>0</v>
      </c>
      <c r="S35" s="6" t="n">
        <f>O35*R35</f>
        <v>0</v>
      </c>
      <c r="T35" s="11" t="n">
        <f>Q35*R35</f>
        <v>0</v>
      </c>
      <c r="U35" s="12" t="n">
        <f>R35/$P$46</f>
        <v>0</v>
      </c>
      <c r="V35" s="15"/>
      <c r="W35" s="48"/>
      <c r="X35" s="13"/>
      <c r="Y35" s="13" t="n">
        <f>O35/5000</f>
        <v>20</v>
      </c>
      <c r="Z35" s="13" t="n">
        <f>Y35*R35</f>
        <v>0</v>
      </c>
    </row>
    <row r="36" ht="16.5" customHeight="1">
      <c r="A36" s="6" t="n">
        <v>100000</v>
      </c>
      <c r="B36" s="19" t="n">
        <v>0.4</v>
      </c>
      <c r="C36" s="7" t="n">
        <f>A36*B36/0.6</f>
        <v>66666.6666666667</v>
      </c>
      <c r="D36" s="20" t="n">
        <v>0</v>
      </c>
      <c r="E36" s="6" t="n">
        <f>A36*D36</f>
        <v>0</v>
      </c>
      <c r="F36" s="11" t="n">
        <f>C36*D36</f>
        <v>0</v>
      </c>
      <c r="G36" s="12" t="n">
        <f>D36/$B$46</f>
        <v>0</v>
      </c>
      <c r="H36" s="15"/>
      <c r="I36" s="48"/>
      <c r="J36" s="13"/>
      <c r="K36" s="13" t="n">
        <f>A36/5000</f>
        <v>20</v>
      </c>
      <c r="L36" s="13" t="n">
        <f>K36*D36</f>
        <v>0</v>
      </c>
      <c r="O36" s="6" t="n">
        <v>100000</v>
      </c>
      <c r="P36" s="19" t="n">
        <v>0.4</v>
      </c>
      <c r="Q36" s="7" t="n">
        <f>O36*P36/0.6</f>
        <v>66666.6666666667</v>
      </c>
      <c r="R36" s="20" t="n">
        <v>0</v>
      </c>
      <c r="S36" s="6" t="n">
        <f>O36*R36</f>
        <v>0</v>
      </c>
      <c r="T36" s="11" t="n">
        <f>Q36*R36</f>
        <v>0</v>
      </c>
      <c r="U36" s="12" t="n">
        <f>R36/$P$46</f>
        <v>0</v>
      </c>
      <c r="V36" s="15"/>
      <c r="W36" s="48"/>
      <c r="X36" s="13"/>
      <c r="Y36" s="13" t="n">
        <f>O36/5000</f>
        <v>20</v>
      </c>
      <c r="Z36" s="13" t="n">
        <f>Y36*R36</f>
        <v>0</v>
      </c>
    </row>
    <row r="37" ht="16.5" customHeight="1">
      <c r="A37" s="6" t="n">
        <v>200000</v>
      </c>
      <c r="B37" s="19" t="n">
        <v>0.4</v>
      </c>
      <c r="C37" s="7" t="n">
        <f>A37*B37/0.6</f>
        <v>133333.333333333</v>
      </c>
      <c r="D37" s="20" t="n">
        <v>15</v>
      </c>
      <c r="E37" s="6" t="n">
        <f>A37*D37</f>
        <v>3000000</v>
      </c>
      <c r="F37" s="11" t="n">
        <f>C37*D37</f>
        <v>1999999.99999999</v>
      </c>
      <c r="G37" s="12" t="n">
        <f>D37/$B$46</f>
        <v>0.0281425891181989</v>
      </c>
      <c r="H37" s="15" t="s">
        <v>95</v>
      </c>
      <c r="I37" s="48"/>
      <c r="J37" s="13"/>
      <c r="K37" s="13" t="n">
        <f>A37/5000</f>
        <v>40</v>
      </c>
      <c r="L37" s="13" t="n">
        <f>K37*D37</f>
        <v>600</v>
      </c>
      <c r="O37" s="6" t="n">
        <v>200000</v>
      </c>
      <c r="P37" s="19" t="n">
        <v>0.4</v>
      </c>
      <c r="Q37" s="7" t="n">
        <f>O37*P37/0.6</f>
        <v>133333.333333333</v>
      </c>
      <c r="R37" s="20" t="n">
        <v>15</v>
      </c>
      <c r="S37" s="6" t="n">
        <f>O37*R37</f>
        <v>3000000</v>
      </c>
      <c r="T37" s="11" t="n">
        <f>Q37*R37</f>
        <v>1999999.99999999</v>
      </c>
      <c r="U37" s="12" t="n">
        <f>R37/$P$46</f>
        <v>0.0266429840142096</v>
      </c>
      <c r="V37" s="15" t="s">
        <v>95</v>
      </c>
      <c r="W37" s="48"/>
      <c r="X37" s="13"/>
      <c r="Y37" s="13" t="n">
        <f>O37/5000</f>
        <v>40</v>
      </c>
      <c r="Z37" s="13" t="n">
        <f>Y37*R37</f>
        <v>600</v>
      </c>
    </row>
    <row r="38" ht="16.5" customHeight="1">
      <c r="A38" s="6" t="n">
        <v>304000</v>
      </c>
      <c r="B38" s="19" t="n">
        <v>0.4</v>
      </c>
      <c r="C38" s="7" t="n">
        <f>A38*B38/0.6</f>
        <v>202666.666666667</v>
      </c>
      <c r="D38" s="20" t="n">
        <v>2</v>
      </c>
      <c r="E38" s="6" t="n">
        <f>A38*D38</f>
        <v>608000</v>
      </c>
      <c r="F38" s="11" t="n">
        <f>C38*D38</f>
        <v>405333.333333334</v>
      </c>
      <c r="G38" s="12" t="n">
        <f>D38/$B$18</f>
        <v>0.00435729847494553</v>
      </c>
      <c r="H38" s="15" t="s">
        <v>96</v>
      </c>
      <c r="I38" s="48"/>
      <c r="J38" s="13"/>
      <c r="K38" s="13" t="n">
        <f>A38/5000</f>
        <v>60.8</v>
      </c>
      <c r="L38" s="13" t="n">
        <f>K38*D38</f>
        <v>121.6</v>
      </c>
      <c r="O38" s="6" t="n">
        <v>304000</v>
      </c>
      <c r="P38" s="19" t="n">
        <v>0.4</v>
      </c>
      <c r="Q38" s="7" t="n">
        <f>O38*P38/0.6</f>
        <v>202666.666666667</v>
      </c>
      <c r="R38" s="20" t="n">
        <v>2</v>
      </c>
      <c r="S38" s="6" t="n">
        <f>O38*R38</f>
        <v>608000</v>
      </c>
      <c r="T38" s="11" t="n">
        <f>Q38*R38</f>
        <v>405333.333333334</v>
      </c>
      <c r="U38" s="12" t="n">
        <f>R38/$P$46</f>
        <v>0.00355239786856128</v>
      </c>
      <c r="V38" s="15" t="s">
        <v>96</v>
      </c>
      <c r="W38" s="48"/>
      <c r="X38" s="13"/>
      <c r="Y38" s="13" t="n">
        <f>O38/5000</f>
        <v>60.8</v>
      </c>
      <c r="Z38" s="13" t="n">
        <f>Y38*R38</f>
        <v>121.6</v>
      </c>
    </row>
    <row r="39" ht="16.5" customHeight="1">
      <c r="A39" s="6" t="n">
        <v>400000</v>
      </c>
      <c r="B39" s="19" t="n">
        <v>0.4</v>
      </c>
      <c r="C39" s="7" t="n">
        <f>A39*B39/0.6</f>
        <v>266666.666666667</v>
      </c>
      <c r="D39" s="20" t="n">
        <v>2</v>
      </c>
      <c r="E39" s="6" t="n">
        <f>A39*D39</f>
        <v>800000</v>
      </c>
      <c r="F39" s="11" t="n">
        <f>C39*D39</f>
        <v>533333.333333334</v>
      </c>
      <c r="G39" s="12" t="n">
        <f>D39/$B$18</f>
        <v>0.00435729847494553</v>
      </c>
      <c r="H39" s="15" t="s">
        <v>79</v>
      </c>
      <c r="I39" s="48"/>
      <c r="J39" s="13"/>
      <c r="K39" s="13" t="n">
        <f>A39/5000</f>
        <v>80</v>
      </c>
      <c r="L39" s="13" t="n">
        <f>K39*D39</f>
        <v>160</v>
      </c>
      <c r="O39" s="6" t="n">
        <v>400000</v>
      </c>
      <c r="P39" s="19" t="n">
        <v>0.4</v>
      </c>
      <c r="Q39" s="7" t="n">
        <f>O39*P39/0.6</f>
        <v>266666.666666667</v>
      </c>
      <c r="R39" s="20" t="n">
        <v>2</v>
      </c>
      <c r="S39" s="6" t="n">
        <f>O39*R39</f>
        <v>800000</v>
      </c>
      <c r="T39" s="11" t="n">
        <f>Q39*R39</f>
        <v>533333.333333334</v>
      </c>
      <c r="U39" s="12" t="n">
        <f>R39/$P$46</f>
        <v>0.00355239786856128</v>
      </c>
      <c r="V39" s="15" t="s">
        <v>79</v>
      </c>
      <c r="W39" s="48"/>
      <c r="X39" s="13"/>
      <c r="Y39" s="13" t="n">
        <f>O39/5000</f>
        <v>80</v>
      </c>
      <c r="Z39" s="13" t="n">
        <f>Y39*R39</f>
        <v>160</v>
      </c>
    </row>
    <row r="40" ht="16.5" customHeight="1">
      <c r="A40" s="6" t="n">
        <v>520000</v>
      </c>
      <c r="B40" s="19" t="n">
        <v>0.4</v>
      </c>
      <c r="C40" s="7" t="n">
        <f>A40*B40/0.6</f>
        <v>346666.666666667</v>
      </c>
      <c r="D40" s="20" t="n">
        <v>2</v>
      </c>
      <c r="E40" s="6" t="n">
        <f>A40*D40</f>
        <v>1040000</v>
      </c>
      <c r="F40" s="11" t="n">
        <f>C40*D40</f>
        <v>693333.333333334</v>
      </c>
      <c r="G40" s="12" t="n">
        <f>D40/$B$46</f>
        <v>0.00375234521575985</v>
      </c>
      <c r="H40" s="15" t="s">
        <v>88</v>
      </c>
      <c r="I40" s="48"/>
      <c r="J40" s="13"/>
      <c r="K40" s="13" t="n">
        <f>A40/5000</f>
        <v>104</v>
      </c>
      <c r="L40" s="13" t="n">
        <f>K40*D40</f>
        <v>208</v>
      </c>
      <c r="O40" s="6" t="n">
        <v>520000</v>
      </c>
      <c r="P40" s="19" t="n">
        <v>0.4</v>
      </c>
      <c r="Q40" s="7" t="n">
        <f>O40*P40/0.6</f>
        <v>346666.666666667</v>
      </c>
      <c r="R40" s="20" t="n">
        <v>2</v>
      </c>
      <c r="S40" s="6" t="n">
        <f>O40*R40</f>
        <v>1040000</v>
      </c>
      <c r="T40" s="11" t="n">
        <f>Q40*R40</f>
        <v>693333.333333334</v>
      </c>
      <c r="U40" s="12" t="n">
        <f>R40/$P$46</f>
        <v>0.00355239786856128</v>
      </c>
      <c r="V40" s="15" t="s">
        <v>88</v>
      </c>
      <c r="W40" s="48"/>
      <c r="X40" s="13"/>
      <c r="Y40" s="13" t="n">
        <f>O40/5000</f>
        <v>104</v>
      </c>
      <c r="Z40" s="13" t="n">
        <f>Y40*R40</f>
        <v>208</v>
      </c>
    </row>
    <row r="41" ht="16.5" customHeight="1">
      <c r="A41" s="6" t="n">
        <v>1000000</v>
      </c>
      <c r="B41" s="19" t="n">
        <v>0.4</v>
      </c>
      <c r="C41" s="7" t="n">
        <f>A41*B41/0.6</f>
        <v>666666.666666667</v>
      </c>
      <c r="D41" s="20" t="n">
        <v>2</v>
      </c>
      <c r="E41" s="6" t="n">
        <f>A41*D41</f>
        <v>2000000</v>
      </c>
      <c r="F41" s="11" t="n">
        <f>C41*D41</f>
        <v>1333333.33333333</v>
      </c>
      <c r="G41" s="12" t="n">
        <f>D41/$B$46</f>
        <v>0.00375234521575985</v>
      </c>
      <c r="H41" s="15" t="s">
        <v>97</v>
      </c>
      <c r="I41" s="35"/>
      <c r="J41" s="13"/>
      <c r="K41" s="13" t="n">
        <f>A41/5000</f>
        <v>200</v>
      </c>
      <c r="L41" s="13" t="n">
        <f>K41*D41</f>
        <v>400</v>
      </c>
      <c r="O41" s="6" t="n">
        <v>1000000</v>
      </c>
      <c r="P41" s="19" t="n">
        <v>0.4</v>
      </c>
      <c r="Q41" s="7" t="n">
        <f>O41*P41/0.6</f>
        <v>666666.666666667</v>
      </c>
      <c r="R41" s="20" t="n">
        <v>2</v>
      </c>
      <c r="S41" s="6" t="n">
        <f>O41*R41</f>
        <v>2000000</v>
      </c>
      <c r="T41" s="11" t="n">
        <f>Q41*R41</f>
        <v>1333333.33333333</v>
      </c>
      <c r="U41" s="12" t="n">
        <f>R41/$P$46</f>
        <v>0.00355239786856128</v>
      </c>
      <c r="V41" s="15" t="s">
        <v>97</v>
      </c>
      <c r="W41" s="35"/>
      <c r="X41" s="13"/>
      <c r="Y41" s="13" t="n">
        <f>O41/5000</f>
        <v>200</v>
      </c>
      <c r="Z41" s="13" t="n">
        <f>Y41*R41</f>
        <v>400</v>
      </c>
    </row>
    <row r="42" ht="16.5" customHeight="1">
      <c r="A42" s="6"/>
      <c r="B42" s="19" t="n">
        <v>0.4</v>
      </c>
      <c r="C42" s="7" t="n">
        <f>A42*B42/0.6</f>
        <v>0</v>
      </c>
      <c r="D42" s="20" t="n">
        <v>0</v>
      </c>
      <c r="E42" s="6" t="n">
        <f>A42*D42</f>
        <v>0</v>
      </c>
      <c r="F42" s="11" t="n">
        <f>C42*D42</f>
        <v>0</v>
      </c>
      <c r="G42" s="12" t="n">
        <f>D42/$B$46</f>
        <v>0</v>
      </c>
      <c r="H42" s="15"/>
      <c r="I42" s="48"/>
      <c r="J42" s="13"/>
      <c r="K42" s="13" t="n">
        <f>A42/5000</f>
        <v>0</v>
      </c>
      <c r="L42" s="13" t="n">
        <f>K42*D42</f>
        <v>0</v>
      </c>
      <c r="O42" s="6"/>
      <c r="P42" s="19" t="n">
        <v>0.4</v>
      </c>
      <c r="Q42" s="7" t="n">
        <f>O42*P42/0.6</f>
        <v>0</v>
      </c>
      <c r="R42" s="20" t="n">
        <v>0</v>
      </c>
      <c r="S42" s="6" t="n">
        <f>O42*R42</f>
        <v>0</v>
      </c>
      <c r="T42" s="11" t="n">
        <f>Q42*R42</f>
        <v>0</v>
      </c>
      <c r="U42" s="12" t="n">
        <f>R42/$P$46</f>
        <v>0</v>
      </c>
      <c r="V42" s="15"/>
      <c r="W42" s="48"/>
      <c r="X42" s="13"/>
      <c r="Y42" s="13" t="n">
        <f>O42/5000</f>
        <v>0</v>
      </c>
      <c r="Z42" s="13" t="n">
        <f>Y42*R42</f>
        <v>0</v>
      </c>
    </row>
    <row r="43" ht="16.5" customHeight="1">
      <c r="A43" s="6"/>
      <c r="B43" s="19" t="n">
        <v>0.4</v>
      </c>
      <c r="C43" s="7" t="n">
        <f>A43*B43/0.6</f>
        <v>0</v>
      </c>
      <c r="D43" s="20" t="n">
        <v>0</v>
      </c>
      <c r="E43" s="6" t="n">
        <f>A43*D43</f>
        <v>0</v>
      </c>
      <c r="F43" s="11" t="n">
        <f>C43*D43</f>
        <v>0</v>
      </c>
      <c r="G43" s="12" t="n">
        <f>D43/$B$46</f>
        <v>0</v>
      </c>
      <c r="H43" s="15"/>
      <c r="I43" s="35"/>
      <c r="J43" s="13"/>
      <c r="K43" s="13" t="n">
        <f>A43/5000</f>
        <v>0</v>
      </c>
      <c r="L43" s="13" t="n">
        <f>K43*D43</f>
        <v>0</v>
      </c>
      <c r="O43" s="6"/>
      <c r="P43" s="19" t="n">
        <v>0.4</v>
      </c>
      <c r="Q43" s="7" t="n">
        <f>O43*P43/0.6</f>
        <v>0</v>
      </c>
      <c r="R43" s="20" t="n">
        <v>0</v>
      </c>
      <c r="S43" s="6" t="n">
        <f>O43*R43</f>
        <v>0</v>
      </c>
      <c r="T43" s="11" t="n">
        <f>Q43*R43</f>
        <v>0</v>
      </c>
      <c r="U43" s="12" t="n">
        <f>R43/$P$46</f>
        <v>0</v>
      </c>
      <c r="V43" s="15"/>
      <c r="W43" s="35"/>
      <c r="X43" s="13"/>
      <c r="Y43" s="13" t="n">
        <f>O43/5000</f>
        <v>0</v>
      </c>
      <c r="Z43" s="13" t="n">
        <f>Y43*R43</f>
        <v>0</v>
      </c>
    </row>
    <row r="44" ht="16.5" customHeight="1">
      <c r="A44" s="6"/>
      <c r="B44" s="19" t="n">
        <v>0.4</v>
      </c>
      <c r="C44" s="7" t="n">
        <f>A44*B44/0.6</f>
        <v>0</v>
      </c>
      <c r="D44" s="20" t="n">
        <v>0</v>
      </c>
      <c r="E44" s="6" t="n">
        <f>A44*D44</f>
        <v>0</v>
      </c>
      <c r="F44" s="11" t="n">
        <f>C44*D44</f>
        <v>0</v>
      </c>
      <c r="G44" s="12" t="n">
        <f>D44/$B$46</f>
        <v>0</v>
      </c>
      <c r="H44" s="15"/>
      <c r="I44" s="48"/>
      <c r="J44" s="13"/>
      <c r="K44" s="13" t="n">
        <f>A44/5000</f>
        <v>0</v>
      </c>
      <c r="L44" s="13" t="n">
        <f>K44*D44</f>
        <v>0</v>
      </c>
      <c r="O44" s="6"/>
      <c r="P44" s="19" t="n">
        <v>0.4</v>
      </c>
      <c r="Q44" s="7" t="n">
        <f>O44*P44/0.6</f>
        <v>0</v>
      </c>
      <c r="R44" s="20" t="n">
        <v>0</v>
      </c>
      <c r="S44" s="6" t="n">
        <f>O44*R44</f>
        <v>0</v>
      </c>
      <c r="T44" s="11" t="n">
        <f>Q44*R44</f>
        <v>0</v>
      </c>
      <c r="U44" s="12" t="n">
        <f>R44/$P$46</f>
        <v>0</v>
      </c>
      <c r="V44" s="15"/>
      <c r="W44" s="48"/>
      <c r="X44" s="13"/>
      <c r="Y44" s="13" t="n">
        <f>O44/5000</f>
        <v>0</v>
      </c>
      <c r="Z44" s="13" t="n">
        <f>Y44*R44</f>
        <v>0</v>
      </c>
    </row>
    <row r="45" ht="16.5" customHeight="1">
      <c r="A45" s="17"/>
      <c r="B45" s="17"/>
      <c r="C45" s="17"/>
      <c r="D45" s="17"/>
      <c r="E45" s="17"/>
      <c r="F45" s="17"/>
      <c r="G45" s="17"/>
      <c r="H45" s="17"/>
      <c r="O45" s="17"/>
      <c r="P45" s="17"/>
      <c r="Q45" s="17"/>
      <c r="R45" s="17"/>
      <c r="S45" s="17"/>
      <c r="T45" s="17"/>
      <c r="U45" s="17"/>
      <c r="V45" s="17"/>
    </row>
    <row r="46" ht="16.5" customHeight="1">
      <c r="A46" s="22" t="s">
        <v>21</v>
      </c>
      <c r="B46" s="23" t="n">
        <f>SUM(D30:D44)</f>
        <v>533</v>
      </c>
      <c r="C46" s="24" t="s">
        <v>22</v>
      </c>
      <c r="D46" s="10"/>
      <c r="E46" s="31" t="n">
        <f>SUM(E30:E44)</f>
        <v>12818000</v>
      </c>
      <c r="F46" s="39" t="s">
        <v>23</v>
      </c>
      <c r="G46" s="40"/>
      <c r="H46" s="41" t="n">
        <f>E46/E48</f>
        <v>1.20243902439024</v>
      </c>
      <c r="O46" s="22" t="s">
        <v>21</v>
      </c>
      <c r="P46" s="23" t="n">
        <f>SUM(R30:R44)</f>
        <v>563</v>
      </c>
      <c r="Q46" s="24" t="s">
        <v>22</v>
      </c>
      <c r="R46" s="10"/>
      <c r="S46" s="31" t="n">
        <f>SUM(S30:S44)</f>
        <v>12968000</v>
      </c>
      <c r="T46" s="39" t="s">
        <v>23</v>
      </c>
      <c r="U46" s="40"/>
      <c r="V46" s="41" t="n">
        <f>S46/S48</f>
        <v>1.15168738898757</v>
      </c>
    </row>
    <row r="47" ht="16.5" customHeight="1">
      <c r="A47" s="22" t="s">
        <v>24</v>
      </c>
      <c r="B47" s="22" t="n">
        <v>20000</v>
      </c>
      <c r="C47" s="24" t="s">
        <v>25</v>
      </c>
      <c r="D47" s="10"/>
      <c r="E47" s="31" t="n">
        <f>SUM(F30:F44)</f>
        <v>8545333.33333332</v>
      </c>
      <c r="F47" s="39" t="s">
        <v>26</v>
      </c>
      <c r="G47" s="40"/>
      <c r="H47" s="41" t="n">
        <f>E47/E48</f>
        <v>0.801626016260161</v>
      </c>
      <c r="O47" s="22" t="s">
        <v>24</v>
      </c>
      <c r="P47" s="22" t="n">
        <v>20000</v>
      </c>
      <c r="Q47" s="24" t="s">
        <v>25</v>
      </c>
      <c r="R47" s="10"/>
      <c r="S47" s="31" t="n">
        <f>SUM(T30:T44)</f>
        <v>8645333.33333332</v>
      </c>
      <c r="T47" s="39" t="s">
        <v>26</v>
      </c>
      <c r="U47" s="40"/>
      <c r="V47" s="41" t="n">
        <f>S47/S48</f>
        <v>0.767791592658377</v>
      </c>
    </row>
    <row r="48" ht="16.5" customHeight="1">
      <c r="A48" s="15"/>
      <c r="B48" s="15"/>
      <c r="C48" s="24" t="s">
        <v>27</v>
      </c>
      <c r="D48" s="10"/>
      <c r="E48" s="8" t="n">
        <f>B46*B47</f>
        <v>10660000</v>
      </c>
      <c r="F48" s="39" t="s">
        <v>28</v>
      </c>
      <c r="G48" s="40"/>
      <c r="H48" s="41" t="n">
        <f>E48/E47</f>
        <v>1.2474645030426</v>
      </c>
      <c r="O48" s="15"/>
      <c r="P48" s="15"/>
      <c r="Q48" s="24" t="s">
        <v>27</v>
      </c>
      <c r="R48" s="10"/>
      <c r="S48" s="8" t="n">
        <f>P46*P47</f>
        <v>11260000</v>
      </c>
      <c r="T48" s="39" t="s">
        <v>28</v>
      </c>
      <c r="U48" s="40"/>
      <c r="V48" s="41" t="n">
        <f>S48/S47</f>
        <v>1.30243676742752</v>
      </c>
    </row>
    <row r="49" ht="16.5" customHeight="1">
      <c r="A49" s="9" t="s">
        <v>51</v>
      </c>
      <c r="B49" s="34" t="s">
        <v>90</v>
      </c>
      <c r="H49" s="5" t="n">
        <f>100*B47*(1.45-H46)</f>
        <v>495121.95121952</v>
      </c>
      <c r="O49" s="9" t="s">
        <v>51</v>
      </c>
      <c r="P49" s="34" t="s">
        <v>90</v>
      </c>
      <c r="V49" s="5" t="n">
        <f>100*P47*(1.45-V46)</f>
        <v>596625.22202486</v>
      </c>
    </row>
    <row r="50" ht="16.5" customHeight="1">
      <c r="A50" s="9" t="s">
        <v>64</v>
      </c>
      <c r="B50" s="34" t="s">
        <v>91</v>
      </c>
      <c r="O50" s="9" t="s">
        <v>64</v>
      </c>
      <c r="P50" s="34" t="s">
        <v>91</v>
      </c>
    </row>
    <row r="51" ht="16.5" customHeight="1">
      <c r="A51" s="9" t="s">
        <v>74</v>
      </c>
      <c r="B51" s="34" t="s">
        <v>91</v>
      </c>
      <c r="O51" s="9" t="s">
        <v>74</v>
      </c>
      <c r="P51" s="34" t="s">
        <v>91</v>
      </c>
    </row>
    <row r="52" ht="16.5" customHeight="1">
      <c r="A52" s="9" t="s">
        <v>77</v>
      </c>
      <c r="B52" s="34" t="s">
        <v>91</v>
      </c>
      <c r="O52" s="9" t="s">
        <v>77</v>
      </c>
      <c r="P52" s="34" t="s">
        <v>91</v>
      </c>
    </row>
    <row r="56" ht="16.5" customHeight="1">
      <c r="A56" s="30" t="s">
        <v>98</v>
      </c>
      <c r="B56" s="27"/>
      <c r="C56" s="27"/>
      <c r="D56" s="27"/>
      <c r="E56" s="27"/>
      <c r="F56" s="27"/>
      <c r="G56" s="27"/>
      <c r="H56" s="28"/>
    </row>
    <row r="57" ht="16.5" customHeight="1">
      <c r="A57" s="15" t="s">
        <v>86</v>
      </c>
      <c r="B57" s="10"/>
      <c r="C57" s="10"/>
      <c r="D57" s="10"/>
      <c r="E57" s="10"/>
      <c r="F57" s="10"/>
      <c r="G57" s="10"/>
      <c r="H57" s="10"/>
    </row>
    <row r="58" ht="16.5" customHeight="1">
      <c r="A58" s="17" t="s">
        <v>2</v>
      </c>
      <c r="B58" s="15" t="s">
        <v>3</v>
      </c>
      <c r="C58" s="18" t="s">
        <v>4</v>
      </c>
      <c r="D58" s="20" t="s">
        <v>5</v>
      </c>
      <c r="E58" s="17" t="s">
        <v>6</v>
      </c>
      <c r="F58" s="15" t="s">
        <v>7</v>
      </c>
      <c r="G58" s="15" t="s">
        <v>8</v>
      </c>
      <c r="H58" s="17" t="s">
        <v>9</v>
      </c>
      <c r="I58" s="9" t="s">
        <v>10</v>
      </c>
      <c r="J58" s="9" t="s">
        <v>11</v>
      </c>
      <c r="K58" s="9" t="s">
        <v>12</v>
      </c>
    </row>
    <row r="59" ht="16.5" customHeight="1">
      <c r="A59" s="6" t="n">
        <v>1000</v>
      </c>
      <c r="B59" s="19" t="n">
        <v>0.4</v>
      </c>
      <c r="C59" s="7" t="n">
        <f>A59*B59/0.6</f>
        <v>666.666666666667</v>
      </c>
      <c r="D59" s="82" t="n">
        <v>528</v>
      </c>
      <c r="E59" s="6" t="n">
        <f>A59*D59</f>
        <v>528000</v>
      </c>
      <c r="F59" s="11" t="n">
        <f>C59*D59</f>
        <v>352000</v>
      </c>
      <c r="G59" s="12" t="n">
        <f>D59/$B$73</f>
        <v>0.576419213973799</v>
      </c>
      <c r="H59" s="15" t="s">
        <v>31</v>
      </c>
      <c r="I59" s="5"/>
      <c r="J59" s="13"/>
      <c r="K59" s="13" t="n">
        <v>4</v>
      </c>
      <c r="L59" s="13" t="n">
        <f>K59*D59</f>
        <v>2112</v>
      </c>
    </row>
    <row r="60" ht="16.5" customHeight="1">
      <c r="A60" s="6" t="n">
        <v>10000</v>
      </c>
      <c r="B60" s="19" t="n">
        <v>0.4</v>
      </c>
      <c r="C60" s="7" t="n">
        <f>A60*B60/0.6</f>
        <v>6666.66666666667</v>
      </c>
      <c r="D60" s="20" t="n">
        <v>200</v>
      </c>
      <c r="E60" s="6" t="n">
        <f>A60*D60</f>
        <v>2000000</v>
      </c>
      <c r="F60" s="11" t="n">
        <f>C60*D60</f>
        <v>1333333.33333333</v>
      </c>
      <c r="G60" s="12" t="n">
        <f>D60/$B$73</f>
        <v>0.218340611353712</v>
      </c>
      <c r="H60" s="15" t="s">
        <v>87</v>
      </c>
      <c r="I60" s="35"/>
      <c r="J60" s="13"/>
      <c r="K60" s="13" t="n">
        <f>A60/5000</f>
        <v>2</v>
      </c>
      <c r="L60" s="13" t="n">
        <f>K60*D60</f>
        <v>400</v>
      </c>
    </row>
    <row r="61" ht="16.5" customHeight="1">
      <c r="A61" s="6"/>
      <c r="B61" s="19"/>
      <c r="C61" s="7"/>
      <c r="D61" s="20"/>
      <c r="E61" s="6"/>
      <c r="F61" s="11"/>
      <c r="G61" s="12"/>
      <c r="H61" s="15"/>
      <c r="I61" s="35"/>
      <c r="J61" s="13"/>
      <c r="K61" s="13" t="n">
        <f>A61/5000</f>
        <v>0</v>
      </c>
      <c r="L61" s="13" t="n">
        <f>K61*D61</f>
        <v>0</v>
      </c>
    </row>
    <row r="62" ht="16.5" customHeight="1">
      <c r="A62" s="6"/>
      <c r="B62" s="19"/>
      <c r="C62" s="7"/>
      <c r="D62" s="20"/>
      <c r="E62" s="6"/>
      <c r="F62" s="11"/>
      <c r="G62" s="12"/>
      <c r="H62" s="15"/>
      <c r="I62" s="48"/>
      <c r="J62" s="13"/>
      <c r="K62" s="13" t="n">
        <f>A62/5000</f>
        <v>0</v>
      </c>
      <c r="L62" s="13" t="n">
        <f>K62*D62</f>
        <v>0</v>
      </c>
    </row>
    <row r="63" ht="16.5" customHeight="1">
      <c r="A63" s="6" t="n">
        <v>52000</v>
      </c>
      <c r="B63" s="19" t="n">
        <v>0.4</v>
      </c>
      <c r="C63" s="7" t="n">
        <f>A63*B63/0.6</f>
        <v>34666.6666666667</v>
      </c>
      <c r="D63" s="20" t="n">
        <v>100</v>
      </c>
      <c r="E63" s="6" t="n">
        <f>A63*D63</f>
        <v>5200000</v>
      </c>
      <c r="F63" s="11" t="n">
        <f>C63*D63</f>
        <v>3466666.66666667</v>
      </c>
      <c r="G63" s="12" t="n">
        <f>D63/$B$73</f>
        <v>0.109170305676856</v>
      </c>
      <c r="H63" s="21" t="s">
        <v>54</v>
      </c>
      <c r="I63" s="48"/>
      <c r="J63" s="13"/>
      <c r="K63" s="13" t="n">
        <f>A63/5000</f>
        <v>10.4</v>
      </c>
      <c r="L63" s="13" t="n">
        <f>K63*D63</f>
        <v>1040</v>
      </c>
    </row>
    <row r="64" ht="16.5" customHeight="1">
      <c r="A64" s="6" t="n">
        <v>100000</v>
      </c>
      <c r="B64" s="19" t="n">
        <v>0.4</v>
      </c>
      <c r="C64" s="7" t="n">
        <f>A64*B64/0.6</f>
        <v>66666.6666666667</v>
      </c>
      <c r="D64" s="20" t="n">
        <v>40</v>
      </c>
      <c r="E64" s="6" t="n">
        <f>A64*D64</f>
        <v>4000000</v>
      </c>
      <c r="F64" s="11" t="n">
        <f>C64*D64</f>
        <v>2666666.66666667</v>
      </c>
      <c r="G64" s="12" t="n">
        <f>D64/$B$73</f>
        <v>0.0436681222707424</v>
      </c>
      <c r="H64" s="15" t="s">
        <v>56</v>
      </c>
      <c r="I64" s="48"/>
      <c r="J64" s="13"/>
      <c r="K64" s="13" t="n">
        <f>A64/5000</f>
        <v>20</v>
      </c>
      <c r="L64" s="13" t="n">
        <f>K64*D64</f>
        <v>800</v>
      </c>
    </row>
    <row r="65" ht="16.5" customHeight="1">
      <c r="A65" s="6" t="n">
        <v>100000</v>
      </c>
      <c r="B65" s="19" t="n">
        <v>0.4</v>
      </c>
      <c r="C65" s="7" t="n">
        <f>A65*B65/0.6</f>
        <v>66666.6666666667</v>
      </c>
      <c r="D65" s="20" t="n">
        <v>40</v>
      </c>
      <c r="E65" s="6" t="n">
        <f>A65*D65</f>
        <v>4000000</v>
      </c>
      <c r="F65" s="11" t="n">
        <f>C65*D65</f>
        <v>2666666.66666667</v>
      </c>
      <c r="G65" s="12" t="n">
        <f>D65/$B$73</f>
        <v>0.0436681222707424</v>
      </c>
      <c r="H65" s="15" t="s">
        <v>57</v>
      </c>
      <c r="I65" s="48"/>
      <c r="J65" s="13"/>
      <c r="K65" s="13" t="n">
        <f>A65/5000</f>
        <v>20</v>
      </c>
      <c r="L65" s="13" t="n">
        <f>K65*D65</f>
        <v>800</v>
      </c>
    </row>
    <row r="66" ht="16.5" customHeight="1">
      <c r="A66" s="6"/>
      <c r="B66" s="19"/>
      <c r="C66" s="7"/>
      <c r="D66" s="20"/>
      <c r="E66" s="6"/>
      <c r="F66" s="11"/>
      <c r="G66" s="12"/>
      <c r="H66" s="15"/>
      <c r="I66" s="48"/>
      <c r="J66" s="13"/>
      <c r="K66" s="13" t="n">
        <f>A66/5000</f>
        <v>0</v>
      </c>
      <c r="L66" s="13" t="n">
        <f>K66*D66</f>
        <v>0</v>
      </c>
    </row>
    <row r="67" ht="16.5" customHeight="1">
      <c r="A67" s="6" t="n">
        <v>520000</v>
      </c>
      <c r="B67" s="19" t="n">
        <v>0.4</v>
      </c>
      <c r="C67" s="7" t="n">
        <f>A67*B67/0.6</f>
        <v>346666.666666667</v>
      </c>
      <c r="D67" s="20" t="n">
        <v>4</v>
      </c>
      <c r="E67" s="6" t="n">
        <f>A67*D67</f>
        <v>2080000</v>
      </c>
      <c r="F67" s="11" t="n">
        <f>C67*D67</f>
        <v>1386666.66666667</v>
      </c>
      <c r="G67" s="12" t="n">
        <f>D67/$B$73</f>
        <v>0.00436681222707424</v>
      </c>
      <c r="H67" s="15" t="s">
        <v>88</v>
      </c>
      <c r="I67" s="48"/>
      <c r="J67" s="13"/>
      <c r="K67" s="13" t="n">
        <f>A67/5000</f>
        <v>104</v>
      </c>
      <c r="L67" s="13" t="n">
        <f>K67*D67</f>
        <v>416</v>
      </c>
    </row>
    <row r="68" ht="16.5" customHeight="1">
      <c r="A68" s="6" t="n">
        <v>2000000</v>
      </c>
      <c r="B68" s="19" t="n">
        <v>0.4</v>
      </c>
      <c r="C68" s="7" t="n">
        <f>A68*B68/0.6</f>
        <v>1333333.33333333</v>
      </c>
      <c r="D68" s="20" t="n">
        <v>4</v>
      </c>
      <c r="E68" s="6" t="n">
        <f>A68*D68</f>
        <v>8000000</v>
      </c>
      <c r="F68" s="11" t="n">
        <f>C68*D68</f>
        <v>5333333.33333332</v>
      </c>
      <c r="G68" s="12" t="n">
        <f>D68/$B$73</f>
        <v>0.00436681222707424</v>
      </c>
      <c r="H68" s="15" t="s">
        <v>89</v>
      </c>
      <c r="I68" s="35"/>
      <c r="J68" s="13" t="s">
        <v>43</v>
      </c>
      <c r="K68" s="13" t="n">
        <f>A68/5000</f>
        <v>400</v>
      </c>
      <c r="L68" s="13" t="n">
        <f>K68*D68</f>
        <v>1600</v>
      </c>
    </row>
    <row r="69" ht="16.5" customHeight="1">
      <c r="A69" s="6"/>
      <c r="B69" s="19" t="n">
        <v>0.4</v>
      </c>
      <c r="C69" s="7" t="n">
        <f>A69*B69/0.6</f>
        <v>0</v>
      </c>
      <c r="D69" s="20" t="n">
        <v>0</v>
      </c>
      <c r="E69" s="6" t="n">
        <f>A69*D69</f>
        <v>0</v>
      </c>
      <c r="F69" s="11" t="n">
        <f>C69*D69</f>
        <v>0</v>
      </c>
      <c r="G69" s="12"/>
      <c r="H69" s="15"/>
      <c r="I69" s="48"/>
      <c r="J69" s="13"/>
      <c r="K69" s="13" t="n">
        <f>A69/5000</f>
        <v>0</v>
      </c>
      <c r="L69" s="13" t="n">
        <f>K69*D69</f>
        <v>0</v>
      </c>
    </row>
    <row r="70" ht="16.5" customHeight="1">
      <c r="A70" s="6"/>
      <c r="B70" s="19" t="n">
        <v>0.4</v>
      </c>
      <c r="C70" s="7" t="n">
        <f>A70*B70/0.6</f>
        <v>0</v>
      </c>
      <c r="D70" s="20" t="n">
        <v>0</v>
      </c>
      <c r="E70" s="6" t="n">
        <f>A70*D70</f>
        <v>0</v>
      </c>
      <c r="F70" s="11" t="n">
        <f>C70*D70</f>
        <v>0</v>
      </c>
      <c r="G70" s="12"/>
      <c r="H70" s="15"/>
      <c r="I70" s="35"/>
      <c r="J70" s="13"/>
      <c r="K70" s="13" t="n">
        <f>A70/5000</f>
        <v>0</v>
      </c>
      <c r="L70" s="13" t="n">
        <f>K70*D70</f>
        <v>0</v>
      </c>
    </row>
    <row r="71" ht="16.5" customHeight="1">
      <c r="A71" s="6"/>
      <c r="B71" s="19" t="n">
        <v>0.4</v>
      </c>
      <c r="C71" s="7" t="n">
        <f>A71*B71/0.6</f>
        <v>0</v>
      </c>
      <c r="D71" s="20" t="n">
        <v>0</v>
      </c>
      <c r="E71" s="6" t="n">
        <f>A71*D71</f>
        <v>0</v>
      </c>
      <c r="F71" s="11" t="n">
        <f>C71*D71</f>
        <v>0</v>
      </c>
      <c r="G71" s="12"/>
      <c r="H71" s="15"/>
      <c r="I71" s="48"/>
      <c r="J71" s="13"/>
      <c r="K71" s="13" t="n">
        <f>A71/5000</f>
        <v>0</v>
      </c>
      <c r="L71" s="13" t="n">
        <f>K71*D71</f>
        <v>0</v>
      </c>
    </row>
    <row r="72" ht="16.5" customHeight="1">
      <c r="A72" s="17"/>
      <c r="B72" s="17"/>
      <c r="C72" s="17"/>
      <c r="D72" s="17"/>
      <c r="E72" s="17"/>
      <c r="F72" s="17"/>
      <c r="G72" s="17"/>
      <c r="H72" s="17"/>
    </row>
    <row r="73" ht="16.5" customHeight="1">
      <c r="A73" s="22" t="s">
        <v>21</v>
      </c>
      <c r="B73" s="23" t="n">
        <f>SUM(D59:D71)</f>
        <v>916</v>
      </c>
      <c r="C73" s="24" t="s">
        <v>22</v>
      </c>
      <c r="D73" s="10"/>
      <c r="E73" s="31" t="n">
        <f>SUM(E59:E71)</f>
        <v>25808000</v>
      </c>
      <c r="F73" s="39" t="s">
        <v>23</v>
      </c>
      <c r="G73" s="40"/>
      <c r="H73" s="41" t="n">
        <f>E73/E75</f>
        <v>1.40873362445415</v>
      </c>
    </row>
    <row r="74" ht="16.5" customHeight="1">
      <c r="A74" s="22" t="s">
        <v>24</v>
      </c>
      <c r="B74" s="22" t="n">
        <v>20000</v>
      </c>
      <c r="C74" s="24" t="s">
        <v>25</v>
      </c>
      <c r="D74" s="10"/>
      <c r="E74" s="31" t="n">
        <f>SUM(F59:F71)</f>
        <v>17205333.3333333</v>
      </c>
      <c r="F74" s="39" t="s">
        <v>26</v>
      </c>
      <c r="G74" s="40"/>
      <c r="H74" s="41" t="n">
        <f>E74/E75</f>
        <v>0.939155749636097</v>
      </c>
    </row>
    <row r="75" ht="16.5" customHeight="1">
      <c r="A75" s="15"/>
      <c r="B75" s="15"/>
      <c r="C75" s="24" t="s">
        <v>27</v>
      </c>
      <c r="D75" s="10"/>
      <c r="E75" s="8" t="n">
        <f>B73*B74</f>
        <v>18320000</v>
      </c>
      <c r="F75" s="39" t="s">
        <v>28</v>
      </c>
      <c r="G75" s="40"/>
      <c r="H75" s="41" t="n">
        <f>E75/E74</f>
        <v>1.06478611283323</v>
      </c>
    </row>
  </sheetData>
  <mergeCells count="40">
    <mergeCell ref="F18:G18"/>
    <mergeCell ref="F19:G19"/>
    <mergeCell ref="A1:H1"/>
    <mergeCell ref="A2:H2"/>
    <mergeCell ref="C18:D18"/>
    <mergeCell ref="C19:D19"/>
    <mergeCell ref="C20:D20"/>
    <mergeCell ref="F20:G20"/>
    <mergeCell ref="F46:G46"/>
    <mergeCell ref="F47:G47"/>
    <mergeCell ref="A27:H27"/>
    <mergeCell ref="A28:H28"/>
    <mergeCell ref="C46:D46"/>
    <mergeCell ref="C47:D47"/>
    <mergeCell ref="C48:D48"/>
    <mergeCell ref="F48:G48"/>
    <mergeCell ref="F73:G73"/>
    <mergeCell ref="F74:G74"/>
    <mergeCell ref="A56:H56"/>
    <mergeCell ref="A57:H57"/>
    <mergeCell ref="C73:D73"/>
    <mergeCell ref="C74:D74"/>
    <mergeCell ref="C75:D75"/>
    <mergeCell ref="F75:G75"/>
    <mergeCell ref="T18:U18"/>
    <mergeCell ref="T19:U19"/>
    <mergeCell ref="O1:V1"/>
    <mergeCell ref="O2:V2"/>
    <mergeCell ref="Q18:R18"/>
    <mergeCell ref="Q19:R19"/>
    <mergeCell ref="Q20:R20"/>
    <mergeCell ref="T20:U20"/>
    <mergeCell ref="T46:U46"/>
    <mergeCell ref="T47:U47"/>
    <mergeCell ref="O27:V27"/>
    <mergeCell ref="O28:V28"/>
    <mergeCell ref="Q46:R46"/>
    <mergeCell ref="Q47:R47"/>
    <mergeCell ref="Q48:R48"/>
    <mergeCell ref="T48:U4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16.0693359375" customWidth="1"/>
  </cols>
  <sheetData>
    <row r="1" ht="16.5" customHeight="1">
      <c r="A1" s="30" t="s">
        <v>99</v>
      </c>
      <c r="B1" s="27"/>
      <c r="C1" s="27"/>
      <c r="D1" s="27"/>
      <c r="E1" s="27"/>
      <c r="F1" s="27"/>
      <c r="G1" s="27"/>
      <c r="H1" s="28"/>
      <c r="N1" s="30" t="s">
        <v>99</v>
      </c>
      <c r="O1" s="27"/>
      <c r="P1" s="27"/>
      <c r="Q1" s="27"/>
      <c r="R1" s="27"/>
      <c r="S1" s="27"/>
      <c r="T1" s="27"/>
      <c r="U1" s="28"/>
    </row>
    <row r="2" ht="16.5" customHeight="1">
      <c r="A2" s="15" t="s">
        <v>1</v>
      </c>
      <c r="B2" s="10"/>
      <c r="C2" s="10"/>
      <c r="D2" s="10"/>
      <c r="E2" s="10"/>
      <c r="F2" s="10"/>
      <c r="G2" s="10"/>
      <c r="H2" s="10"/>
      <c r="N2" s="15" t="s">
        <v>1</v>
      </c>
      <c r="O2" s="10"/>
      <c r="P2" s="10"/>
      <c r="Q2" s="10"/>
      <c r="R2" s="10"/>
      <c r="S2" s="10"/>
      <c r="T2" s="10"/>
      <c r="U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100</v>
      </c>
      <c r="J3" s="9" t="s">
        <v>12</v>
      </c>
      <c r="N3" s="17" t="s">
        <v>2</v>
      </c>
      <c r="O3" s="15" t="s">
        <v>3</v>
      </c>
      <c r="P3" s="18" t="s">
        <v>4</v>
      </c>
      <c r="Q3" s="20" t="s">
        <v>5</v>
      </c>
      <c r="R3" s="17" t="s">
        <v>6</v>
      </c>
      <c r="S3" s="15" t="s">
        <v>7</v>
      </c>
      <c r="T3" s="15" t="s">
        <v>8</v>
      </c>
      <c r="U3" s="17" t="s">
        <v>9</v>
      </c>
      <c r="V3" s="9" t="s">
        <v>100</v>
      </c>
      <c r="W3" s="9" t="s">
        <v>12</v>
      </c>
    </row>
    <row r="4" ht="16.5" customHeight="1">
      <c r="A4" s="6" t="n">
        <v>500</v>
      </c>
      <c r="B4" s="19" t="n">
        <v>0.4</v>
      </c>
      <c r="C4" s="7" t="n">
        <f>A4*B4/0.6</f>
        <v>333.333333333333</v>
      </c>
      <c r="D4" s="20" t="n">
        <v>310</v>
      </c>
      <c r="E4" s="6" t="n">
        <f>A4*D4</f>
        <v>155000</v>
      </c>
      <c r="F4" s="11" t="n">
        <f>C4*D4</f>
        <v>103333.333333333</v>
      </c>
      <c r="G4" s="12" t="n">
        <f>D4/$B$12</f>
        <v>0.412234042553192</v>
      </c>
      <c r="H4" s="15" t="s">
        <v>101</v>
      </c>
      <c r="I4" s="13"/>
      <c r="J4" s="13" t="n">
        <v>4</v>
      </c>
      <c r="K4" s="13" t="n">
        <f>J4*D4</f>
        <v>1240</v>
      </c>
      <c r="L4" s="32"/>
      <c r="N4" s="6" t="n">
        <v>500</v>
      </c>
      <c r="O4" s="19" t="n">
        <v>0.4</v>
      </c>
      <c r="P4" s="7" t="n">
        <f>N4*O4/0.6</f>
        <v>333.333333333333</v>
      </c>
      <c r="Q4" s="82" t="n">
        <v>360</v>
      </c>
      <c r="R4" s="6" t="n">
        <f>N4*Q4</f>
        <v>180000</v>
      </c>
      <c r="S4" s="11" t="n">
        <f>P4*Q4</f>
        <v>120000</v>
      </c>
      <c r="T4" s="12" t="n">
        <f>Q4/$O$12</f>
        <v>0.448877805486284</v>
      </c>
      <c r="U4" s="15" t="s">
        <v>101</v>
      </c>
      <c r="V4" s="13"/>
      <c r="W4" s="13" t="n">
        <v>4</v>
      </c>
      <c r="X4" s="13" t="n">
        <f>W4*Q4</f>
        <v>1440</v>
      </c>
    </row>
    <row r="5" ht="16.5" customHeight="1">
      <c r="A5" s="6" t="n">
        <v>5000</v>
      </c>
      <c r="B5" s="19" t="n">
        <v>0.4</v>
      </c>
      <c r="C5" s="7" t="n">
        <f>A5*B5/0.6</f>
        <v>3333.33333333333</v>
      </c>
      <c r="D5" s="20" t="n">
        <v>220</v>
      </c>
      <c r="E5" s="6" t="n">
        <f>A5*D5</f>
        <v>1100000</v>
      </c>
      <c r="F5" s="11" t="n">
        <f>C5*D5</f>
        <v>733333.333333333</v>
      </c>
      <c r="G5" s="12" t="n">
        <f>D5/$B$12</f>
        <v>0.292553191489362</v>
      </c>
      <c r="H5" s="15" t="s">
        <v>15</v>
      </c>
      <c r="I5" s="13"/>
      <c r="J5" s="13" t="n">
        <f>A5/5000</f>
        <v>1</v>
      </c>
      <c r="K5" s="13" t="n">
        <f>J5*D5</f>
        <v>220</v>
      </c>
      <c r="N5" s="6" t="n">
        <v>5000</v>
      </c>
      <c r="O5" s="19" t="n">
        <v>0.4</v>
      </c>
      <c r="P5" s="7" t="n">
        <f>N5*O5/0.6</f>
        <v>3333.33333333333</v>
      </c>
      <c r="Q5" s="20" t="n">
        <v>220</v>
      </c>
      <c r="R5" s="6" t="n">
        <f>N5*Q5</f>
        <v>1100000</v>
      </c>
      <c r="S5" s="11" t="n">
        <f>P5*Q5</f>
        <v>733333.333333333</v>
      </c>
      <c r="T5" s="12" t="n">
        <f>Q5/$O$12</f>
        <v>0.27431421446384</v>
      </c>
      <c r="U5" s="15" t="s">
        <v>15</v>
      </c>
      <c r="V5" s="13"/>
      <c r="W5" s="13" t="n">
        <f>N5/5000</f>
        <v>1</v>
      </c>
      <c r="X5" s="13" t="n">
        <f>W5*Q5</f>
        <v>220</v>
      </c>
    </row>
    <row r="6" ht="16.5" customHeight="1">
      <c r="A6" s="6" t="n">
        <v>20000</v>
      </c>
      <c r="B6" s="19" t="n">
        <v>0.4</v>
      </c>
      <c r="C6" s="7" t="n">
        <f>A6*B6/0.6</f>
        <v>13333.3333333333</v>
      </c>
      <c r="D6" s="20" t="n">
        <v>150</v>
      </c>
      <c r="E6" s="6" t="n">
        <f>A6*D6</f>
        <v>3000000</v>
      </c>
      <c r="F6" s="11" t="n">
        <f>C6*D6</f>
        <v>1999999.99999999</v>
      </c>
      <c r="G6" s="12" t="n">
        <f>D6/$B$12</f>
        <v>0.199468085106383</v>
      </c>
      <c r="H6" s="15" t="s">
        <v>102</v>
      </c>
      <c r="I6" s="13"/>
      <c r="J6" s="13" t="n">
        <f>A6/5000</f>
        <v>4</v>
      </c>
      <c r="K6" s="13" t="n">
        <f>J6*D6</f>
        <v>600</v>
      </c>
      <c r="N6" s="6" t="n">
        <v>20000</v>
      </c>
      <c r="O6" s="19" t="n">
        <v>0.4</v>
      </c>
      <c r="P6" s="7" t="n">
        <f>N6*O6/0.6</f>
        <v>13333.3333333333</v>
      </c>
      <c r="Q6" s="20" t="n">
        <v>150</v>
      </c>
      <c r="R6" s="6" t="n">
        <f>N6*Q6</f>
        <v>3000000</v>
      </c>
      <c r="S6" s="11" t="n">
        <f>P6*Q6</f>
        <v>1999999.99999999</v>
      </c>
      <c r="T6" s="12" t="n">
        <f>Q6/$O$12</f>
        <v>0.187032418952618</v>
      </c>
      <c r="U6" s="15" t="s">
        <v>102</v>
      </c>
      <c r="V6" s="13"/>
      <c r="W6" s="13" t="n">
        <f>N6/5000</f>
        <v>4</v>
      </c>
      <c r="X6" s="13" t="n">
        <f>W6*Q6</f>
        <v>600</v>
      </c>
    </row>
    <row r="7" ht="16.5" customHeight="1">
      <c r="A7" s="6" t="n">
        <v>52000</v>
      </c>
      <c r="B7" s="19" t="n">
        <v>0.4</v>
      </c>
      <c r="C7" s="7" t="n">
        <f>A7*B7/0.6</f>
        <v>34666.6666666667</v>
      </c>
      <c r="D7" s="20" t="n">
        <v>50</v>
      </c>
      <c r="E7" s="6" t="n">
        <f>A7*D7</f>
        <v>2600000</v>
      </c>
      <c r="F7" s="11" t="n">
        <f>C7*D7</f>
        <v>1733333.33333334</v>
      </c>
      <c r="G7" s="12" t="n">
        <f>D7/$B$12</f>
        <v>0.0664893617021277</v>
      </c>
      <c r="H7" s="15" t="s">
        <v>54</v>
      </c>
      <c r="I7" s="13"/>
      <c r="J7" s="13" t="n">
        <f>A7/5000</f>
        <v>10.4</v>
      </c>
      <c r="K7" s="13" t="n">
        <f>J7*D7</f>
        <v>520</v>
      </c>
      <c r="N7" s="6" t="n">
        <v>52000</v>
      </c>
      <c r="O7" s="19" t="n">
        <v>0.4</v>
      </c>
      <c r="P7" s="7" t="n">
        <f>N7*O7/0.6</f>
        <v>34666.6666666667</v>
      </c>
      <c r="Q7" s="20" t="n">
        <v>50</v>
      </c>
      <c r="R7" s="6" t="n">
        <f>N7*Q7</f>
        <v>2600000</v>
      </c>
      <c r="S7" s="11" t="n">
        <f>P7*Q7</f>
        <v>1733333.33333334</v>
      </c>
      <c r="T7" s="12" t="n">
        <f>Q7/$O$12</f>
        <v>0.0623441396508728</v>
      </c>
      <c r="U7" s="15" t="s">
        <v>54</v>
      </c>
      <c r="V7" s="13"/>
      <c r="W7" s="13" t="n">
        <f>N7/5000</f>
        <v>10.4</v>
      </c>
      <c r="X7" s="13" t="n">
        <f>W7*Q7</f>
        <v>520</v>
      </c>
    </row>
    <row r="8" ht="16.5" customHeight="1">
      <c r="A8" s="6" t="n">
        <v>100000</v>
      </c>
      <c r="B8" s="19" t="n">
        <v>0.4</v>
      </c>
      <c r="C8" s="7" t="n">
        <f>A8*B8/0.6</f>
        <v>66666.6666666667</v>
      </c>
      <c r="D8" s="76" t="n">
        <v>10</v>
      </c>
      <c r="E8" s="6" t="n">
        <f>A8*D8</f>
        <v>1000000</v>
      </c>
      <c r="F8" s="11" t="n">
        <f>C8*D8</f>
        <v>666666.666666667</v>
      </c>
      <c r="G8" s="12" t="n">
        <f>D8/$B$12</f>
        <v>0.0132978723404255</v>
      </c>
      <c r="H8" s="15" t="s">
        <v>57</v>
      </c>
      <c r="I8" s="13"/>
      <c r="J8" s="13" t="n">
        <f>A8/5000</f>
        <v>20</v>
      </c>
      <c r="K8" s="13" t="n">
        <f>J8*D8</f>
        <v>200</v>
      </c>
      <c r="N8" s="6" t="n">
        <v>100000</v>
      </c>
      <c r="O8" s="19" t="n">
        <v>0.4</v>
      </c>
      <c r="P8" s="7" t="n">
        <f>N8*O8/0.6</f>
        <v>66666.6666666667</v>
      </c>
      <c r="Q8" s="76" t="n">
        <v>10</v>
      </c>
      <c r="R8" s="6" t="n">
        <f>N8*Q8</f>
        <v>1000000</v>
      </c>
      <c r="S8" s="11" t="n">
        <f>P8*Q8</f>
        <v>666666.666666667</v>
      </c>
      <c r="T8" s="12" t="n">
        <f>Q8/$O$12</f>
        <v>0.0124688279301746</v>
      </c>
      <c r="U8" s="15" t="s">
        <v>57</v>
      </c>
      <c r="V8" s="13"/>
      <c r="W8" s="13" t="n">
        <f>N8/5000</f>
        <v>20</v>
      </c>
      <c r="X8" s="13" t="n">
        <f>W8*Q8</f>
        <v>200</v>
      </c>
    </row>
    <row r="9" ht="16.5" customHeight="1">
      <c r="A9" s="6" t="n">
        <v>100000</v>
      </c>
      <c r="B9" s="19" t="n">
        <v>0.4</v>
      </c>
      <c r="C9" s="7" t="n">
        <f>A9*B9/0.6</f>
        <v>66666.6666666667</v>
      </c>
      <c r="D9" s="76" t="n">
        <v>10</v>
      </c>
      <c r="E9" s="6" t="n">
        <f>A9*D9</f>
        <v>1000000</v>
      </c>
      <c r="F9" s="11" t="n">
        <f>C9*D9</f>
        <v>666666.666666667</v>
      </c>
      <c r="G9" s="12" t="n">
        <f>D9/$B$12</f>
        <v>0.0132978723404255</v>
      </c>
      <c r="H9" s="15" t="s">
        <v>56</v>
      </c>
      <c r="I9" s="13"/>
      <c r="J9" s="13"/>
      <c r="K9" s="13"/>
      <c r="N9" s="6" t="n">
        <v>100000</v>
      </c>
      <c r="O9" s="19" t="n">
        <v>0.4</v>
      </c>
      <c r="P9" s="7" t="n">
        <f>N9*O9/0.6</f>
        <v>66666.6666666667</v>
      </c>
      <c r="Q9" s="76" t="n">
        <v>10</v>
      </c>
      <c r="R9" s="6" t="n">
        <f>N9*Q9</f>
        <v>1000000</v>
      </c>
      <c r="S9" s="11" t="n">
        <f>P9*Q9</f>
        <v>666666.666666667</v>
      </c>
      <c r="T9" s="12" t="n">
        <f>Q9/$O$12</f>
        <v>0.0124688279301746</v>
      </c>
      <c r="U9" s="15" t="s">
        <v>56</v>
      </c>
      <c r="V9" s="13"/>
      <c r="W9" s="13"/>
      <c r="X9" s="13"/>
    </row>
    <row r="10" ht="16.5" customHeight="1">
      <c r="A10" s="6" t="n">
        <v>1000000</v>
      </c>
      <c r="B10" s="19" t="n">
        <v>0.4</v>
      </c>
      <c r="C10" s="7" t="n">
        <f>A10*B10/0.6</f>
        <v>666666.666666667</v>
      </c>
      <c r="D10" s="20" t="n">
        <v>2</v>
      </c>
      <c r="E10" s="6" t="n">
        <f>A10*D10</f>
        <v>2000000</v>
      </c>
      <c r="F10" s="11" t="n">
        <f>C10*D10</f>
        <v>1333333.33333333</v>
      </c>
      <c r="G10" s="12" t="n">
        <f>D10/$B$12</f>
        <v>0.00265957446808511</v>
      </c>
      <c r="H10" s="15" t="s">
        <v>103</v>
      </c>
      <c r="I10" s="13" t="s">
        <v>43</v>
      </c>
      <c r="J10" s="13" t="n">
        <f>A10/5000</f>
        <v>200</v>
      </c>
      <c r="K10" s="13" t="n">
        <f>J10*D10</f>
        <v>400</v>
      </c>
      <c r="N10" s="6" t="n">
        <v>1000000</v>
      </c>
      <c r="O10" s="19" t="n">
        <v>0.4</v>
      </c>
      <c r="P10" s="7" t="n">
        <f>N10*O10/0.6</f>
        <v>666666.666666667</v>
      </c>
      <c r="Q10" s="20" t="n">
        <v>2</v>
      </c>
      <c r="R10" s="6" t="n">
        <f>N10*Q10</f>
        <v>2000000</v>
      </c>
      <c r="S10" s="11" t="n">
        <f>P10*Q10</f>
        <v>1333333.33333333</v>
      </c>
      <c r="T10" s="12" t="n">
        <f>Q10/$O$12</f>
        <v>0.00249376558603491</v>
      </c>
      <c r="U10" s="15" t="s">
        <v>103</v>
      </c>
      <c r="V10" s="13" t="s">
        <v>43</v>
      </c>
      <c r="W10" s="13" t="n">
        <f>N10/5000</f>
        <v>200</v>
      </c>
      <c r="X10" s="13" t="n">
        <f>W10*Q10</f>
        <v>400</v>
      </c>
    </row>
    <row r="11" ht="16.5" customHeight="1">
      <c r="A11" s="17"/>
      <c r="B11" s="17"/>
      <c r="C11" s="17"/>
      <c r="D11" s="17"/>
      <c r="E11" s="17"/>
      <c r="F11" s="17"/>
      <c r="G11" s="17"/>
      <c r="H11" s="17"/>
      <c r="N11" s="17"/>
      <c r="O11" s="17"/>
      <c r="P11" s="17"/>
      <c r="Q11" s="17"/>
      <c r="R11" s="17"/>
      <c r="S11" s="17"/>
      <c r="T11" s="17"/>
      <c r="U11" s="17"/>
    </row>
    <row r="12" ht="16.5" customHeight="1">
      <c r="A12" s="22" t="s">
        <v>21</v>
      </c>
      <c r="B12" s="23" t="n">
        <f>SUM(D4:D10)</f>
        <v>752</v>
      </c>
      <c r="C12" s="24" t="s">
        <v>22</v>
      </c>
      <c r="D12" s="10"/>
      <c r="E12" s="31" t="n">
        <f>SUM(E4:E10)</f>
        <v>10855000</v>
      </c>
      <c r="F12" s="39" t="s">
        <v>23</v>
      </c>
      <c r="G12" s="40"/>
      <c r="H12" s="41" t="n">
        <f>E12/E14</f>
        <v>1.44348404255319</v>
      </c>
      <c r="N12" s="22" t="s">
        <v>21</v>
      </c>
      <c r="O12" s="23" t="n">
        <f>SUM(Q4:Q10)</f>
        <v>802</v>
      </c>
      <c r="P12" s="24" t="s">
        <v>22</v>
      </c>
      <c r="Q12" s="10"/>
      <c r="R12" s="31" t="n">
        <f>SUM(R4:R10)</f>
        <v>10880000</v>
      </c>
      <c r="S12" s="39" t="s">
        <v>23</v>
      </c>
      <c r="T12" s="40"/>
      <c r="U12" s="41" t="n">
        <f>R12/R14</f>
        <v>1.35660847880299</v>
      </c>
    </row>
    <row r="13" ht="16.5" customHeight="1">
      <c r="A13" s="22" t="s">
        <v>24</v>
      </c>
      <c r="B13" s="22" t="n">
        <v>10000</v>
      </c>
      <c r="C13" s="24" t="s">
        <v>25</v>
      </c>
      <c r="D13" s="10"/>
      <c r="E13" s="31" t="n">
        <f>SUM(F4:F10)</f>
        <v>7236666.66666666</v>
      </c>
      <c r="F13" s="39" t="s">
        <v>26</v>
      </c>
      <c r="G13" s="40"/>
      <c r="H13" s="41" t="n">
        <f>E13/E14</f>
        <v>0.96232269503546</v>
      </c>
      <c r="N13" s="22" t="s">
        <v>24</v>
      </c>
      <c r="O13" s="22" t="n">
        <v>10000</v>
      </c>
      <c r="P13" s="24" t="s">
        <v>25</v>
      </c>
      <c r="Q13" s="10"/>
      <c r="R13" s="31" t="n">
        <f>SUM(S4:S10)</f>
        <v>7253333.33333333</v>
      </c>
      <c r="S13" s="39" t="s">
        <v>26</v>
      </c>
      <c r="T13" s="40"/>
      <c r="U13" s="41" t="n">
        <f>R13/R14</f>
        <v>0.904405652535328</v>
      </c>
    </row>
    <row r="14" ht="16.5" customHeight="1">
      <c r="A14" s="15"/>
      <c r="B14" s="15"/>
      <c r="C14" s="24" t="s">
        <v>27</v>
      </c>
      <c r="D14" s="10"/>
      <c r="E14" s="8" t="n">
        <f>B12*B13</f>
        <v>7520000</v>
      </c>
      <c r="F14" s="39" t="s">
        <v>28</v>
      </c>
      <c r="G14" s="40"/>
      <c r="H14" s="41" t="n">
        <f>E14/E13</f>
        <v>1.03915246430217</v>
      </c>
      <c r="N14" s="15"/>
      <c r="O14" s="15"/>
      <c r="P14" s="24" t="s">
        <v>27</v>
      </c>
      <c r="Q14" s="10"/>
      <c r="R14" s="8" t="n">
        <f>O12*O13</f>
        <v>8020000</v>
      </c>
      <c r="S14" s="39" t="s">
        <v>28</v>
      </c>
      <c r="T14" s="40"/>
      <c r="U14" s="41" t="n">
        <f>R14/R13</f>
        <v>1.10569852941177</v>
      </c>
    </row>
    <row r="15" ht="16.5" customHeight="1">
      <c r="A15" s="34" t="s">
        <v>104</v>
      </c>
      <c r="N15" s="34" t="s">
        <v>104</v>
      </c>
    </row>
    <row r="16" ht="16.5" customHeight="1">
      <c r="A16" s="34" t="s">
        <v>105</v>
      </c>
      <c r="N16" s="34" t="s">
        <v>105</v>
      </c>
    </row>
    <row r="17" ht="16.5" customHeight="1">
      <c r="A17" s="34" t="s">
        <v>106</v>
      </c>
      <c r="N17" s="34" t="s">
        <v>106</v>
      </c>
    </row>
    <row r="19" ht="16.5" customHeight="1">
      <c r="A19" s="30" t="s">
        <v>107</v>
      </c>
      <c r="B19" s="27"/>
      <c r="C19" s="27"/>
      <c r="D19" s="27"/>
      <c r="E19" s="27"/>
      <c r="F19" s="27"/>
      <c r="G19" s="27"/>
      <c r="H19" s="28"/>
    </row>
    <row r="20" ht="16.5" customHeight="1">
      <c r="A20" s="15" t="s">
        <v>1</v>
      </c>
      <c r="B20" s="10"/>
      <c r="C20" s="10"/>
      <c r="D20" s="10"/>
      <c r="E20" s="10"/>
      <c r="F20" s="10"/>
      <c r="G20" s="10"/>
      <c r="H20" s="10"/>
    </row>
    <row r="21" ht="16.5" customHeight="1">
      <c r="A21" s="17" t="s">
        <v>2</v>
      </c>
      <c r="B21" s="15" t="s">
        <v>3</v>
      </c>
      <c r="C21" s="18" t="s">
        <v>4</v>
      </c>
      <c r="D21" s="20" t="s">
        <v>5</v>
      </c>
      <c r="E21" s="17" t="s">
        <v>6</v>
      </c>
      <c r="F21" s="15" t="s">
        <v>7</v>
      </c>
      <c r="G21" s="15" t="s">
        <v>8</v>
      </c>
      <c r="H21" s="17" t="s">
        <v>9</v>
      </c>
      <c r="I21" s="9" t="s">
        <v>100</v>
      </c>
      <c r="J21" s="9" t="s">
        <v>12</v>
      </c>
    </row>
    <row r="22" ht="16.5" customHeight="1">
      <c r="A22" s="6" t="n">
        <v>500</v>
      </c>
      <c r="B22" s="19" t="n">
        <v>0.4</v>
      </c>
      <c r="C22" s="7" t="n">
        <f>A22*B22/0.6</f>
        <v>333.333333333333</v>
      </c>
      <c r="D22" s="20" t="n">
        <v>620</v>
      </c>
      <c r="E22" s="6" t="n">
        <f>A22*D22</f>
        <v>310000</v>
      </c>
      <c r="F22" s="11" t="n">
        <f>C22*D22</f>
        <v>206666.666666666</v>
      </c>
      <c r="G22" s="12" t="n">
        <f>D22/$B$12</f>
        <v>0.824468085106383</v>
      </c>
      <c r="H22" s="15" t="s">
        <v>101</v>
      </c>
      <c r="I22" s="13"/>
      <c r="J22" s="13" t="n">
        <v>4</v>
      </c>
      <c r="K22" s="13" t="n">
        <f>J22*D22</f>
        <v>2480</v>
      </c>
    </row>
    <row r="23" ht="16.5" customHeight="1">
      <c r="A23" s="6" t="n">
        <v>5000</v>
      </c>
      <c r="B23" s="19" t="n">
        <v>0.4</v>
      </c>
      <c r="C23" s="7" t="n">
        <f>A23*B23/0.6</f>
        <v>3333.33333333333</v>
      </c>
      <c r="D23" s="20" t="n">
        <v>440</v>
      </c>
      <c r="E23" s="6" t="n">
        <f>A23*D23</f>
        <v>2200000</v>
      </c>
      <c r="F23" s="11" t="n">
        <f>C23*D23</f>
        <v>1466666.66666667</v>
      </c>
      <c r="G23" s="12" t="n">
        <f>D23/$B$12</f>
        <v>0.585106382978723</v>
      </c>
      <c r="H23" s="15" t="s">
        <v>15</v>
      </c>
      <c r="I23" s="13"/>
      <c r="J23" s="13" t="n">
        <f>A23/5000</f>
        <v>1</v>
      </c>
      <c r="K23" s="13" t="n">
        <f>J23*D23</f>
        <v>440</v>
      </c>
    </row>
    <row r="24" ht="16.5" customHeight="1">
      <c r="A24" s="6" t="n">
        <v>20000</v>
      </c>
      <c r="B24" s="19" t="n">
        <v>0.4</v>
      </c>
      <c r="C24" s="7" t="n">
        <f>A24*B24/0.6</f>
        <v>13333.3333333333</v>
      </c>
      <c r="D24" s="20" t="n">
        <v>300</v>
      </c>
      <c r="E24" s="6" t="n">
        <f>A24*D24</f>
        <v>6000000</v>
      </c>
      <c r="F24" s="11" t="n">
        <f>C24*D24</f>
        <v>3999999.99999999</v>
      </c>
      <c r="G24" s="12" t="n">
        <f>D24/$B$12</f>
        <v>0.398936170212766</v>
      </c>
      <c r="H24" s="15" t="s">
        <v>102</v>
      </c>
      <c r="I24" s="13"/>
      <c r="J24" s="13" t="n">
        <f>A24/5000</f>
        <v>4</v>
      </c>
      <c r="K24" s="13" t="n">
        <f>J24*D24</f>
        <v>1200</v>
      </c>
    </row>
    <row r="25" ht="16.5" customHeight="1">
      <c r="A25" s="6" t="n">
        <v>52000</v>
      </c>
      <c r="B25" s="19" t="n">
        <v>0.4</v>
      </c>
      <c r="C25" s="7" t="n">
        <f>A25*B25/0.6</f>
        <v>34666.6666666667</v>
      </c>
      <c r="D25" s="20" t="n">
        <v>100</v>
      </c>
      <c r="E25" s="6" t="n">
        <f>A25*D25</f>
        <v>5200000</v>
      </c>
      <c r="F25" s="11" t="n">
        <f>C25*D25</f>
        <v>3466666.66666667</v>
      </c>
      <c r="G25" s="12" t="n">
        <f>D25/$B$12</f>
        <v>0.132978723404255</v>
      </c>
      <c r="H25" s="15" t="s">
        <v>54</v>
      </c>
      <c r="I25" s="13"/>
      <c r="J25" s="13" t="n">
        <f>A25/5000</f>
        <v>10.4</v>
      </c>
      <c r="K25" s="13" t="n">
        <f>J25*D25</f>
        <v>1040</v>
      </c>
    </row>
    <row r="26" ht="16.5" customHeight="1">
      <c r="A26" s="6" t="n">
        <v>100000</v>
      </c>
      <c r="B26" s="19" t="n">
        <v>0.4</v>
      </c>
      <c r="C26" s="7" t="n">
        <f>A26*B26/0.6</f>
        <v>66666.6666666667</v>
      </c>
      <c r="D26" s="76" t="n">
        <v>20</v>
      </c>
      <c r="E26" s="6" t="n">
        <f>A26*D26</f>
        <v>2000000</v>
      </c>
      <c r="F26" s="11" t="n">
        <f>C26*D26</f>
        <v>1333333.33333333</v>
      </c>
      <c r="G26" s="12" t="n">
        <f>D26/$B$12</f>
        <v>0.0265957446808511</v>
      </c>
      <c r="H26" s="15" t="s">
        <v>57</v>
      </c>
      <c r="I26" s="13"/>
      <c r="J26" s="13" t="n">
        <f>A26/5000</f>
        <v>20</v>
      </c>
      <c r="K26" s="13" t="n">
        <f>J26*D26</f>
        <v>400</v>
      </c>
    </row>
    <row r="27" ht="16.5" customHeight="1">
      <c r="A27" s="6" t="n">
        <v>100000</v>
      </c>
      <c r="B27" s="19" t="n">
        <v>0.4</v>
      </c>
      <c r="C27" s="7" t="n">
        <f>A27*B27/0.6</f>
        <v>66666.6666666667</v>
      </c>
      <c r="D27" s="76" t="n">
        <v>20</v>
      </c>
      <c r="E27" s="6" t="n">
        <f>A27*D27</f>
        <v>2000000</v>
      </c>
      <c r="F27" s="11" t="n">
        <f>C27*D27</f>
        <v>1333333.33333333</v>
      </c>
      <c r="G27" s="12" t="n">
        <f>D27/$B$12</f>
        <v>0.0265957446808511</v>
      </c>
      <c r="H27" s="15" t="s">
        <v>56</v>
      </c>
      <c r="I27" s="13"/>
      <c r="J27" s="13"/>
      <c r="K27" s="13"/>
    </row>
    <row r="28" ht="16.5" customHeight="1">
      <c r="A28" s="6" t="n">
        <v>1000000</v>
      </c>
      <c r="B28" s="19" t="n">
        <v>0.4</v>
      </c>
      <c r="C28" s="7" t="n">
        <f>A28*B28/0.6</f>
        <v>666666.666666667</v>
      </c>
      <c r="D28" s="20" t="n">
        <v>4</v>
      </c>
      <c r="E28" s="6" t="n">
        <f>A28*D28</f>
        <v>4000000</v>
      </c>
      <c r="F28" s="11" t="n">
        <f>C28*D28</f>
        <v>2666666.66666667</v>
      </c>
      <c r="G28" s="12" t="n">
        <f>D28/$B$12</f>
        <v>0.00531914893617021</v>
      </c>
      <c r="H28" s="15" t="s">
        <v>103</v>
      </c>
      <c r="I28" s="13" t="s">
        <v>43</v>
      </c>
      <c r="J28" s="13" t="n">
        <f>A28/5000</f>
        <v>200</v>
      </c>
      <c r="K28" s="13" t="n">
        <f>J28*D28</f>
        <v>800</v>
      </c>
    </row>
    <row r="29" ht="16.5" customHeight="1">
      <c r="A29" s="17"/>
      <c r="B29" s="17"/>
      <c r="C29" s="17"/>
      <c r="D29" s="17"/>
      <c r="E29" s="17"/>
      <c r="F29" s="17"/>
      <c r="G29" s="17"/>
      <c r="H29" s="17"/>
    </row>
    <row r="30" ht="16.5" customHeight="1">
      <c r="A30" s="22" t="s">
        <v>21</v>
      </c>
      <c r="B30" s="23" t="n">
        <f>SUM(D22:D28)</f>
        <v>1504</v>
      </c>
      <c r="C30" s="24" t="s">
        <v>22</v>
      </c>
      <c r="D30" s="10"/>
      <c r="E30" s="31" t="n">
        <f>SUM(E22:E28)</f>
        <v>21710000</v>
      </c>
      <c r="F30" s="39" t="s">
        <v>23</v>
      </c>
      <c r="G30" s="40"/>
      <c r="H30" s="41" t="n">
        <f>E30/E32</f>
        <v>1.44348404255319</v>
      </c>
    </row>
    <row r="31" ht="16.5" customHeight="1">
      <c r="A31" s="22" t="s">
        <v>24</v>
      </c>
      <c r="B31" s="22" t="n">
        <v>10000</v>
      </c>
      <c r="C31" s="24" t="s">
        <v>25</v>
      </c>
      <c r="D31" s="10"/>
      <c r="E31" s="31" t="n">
        <f>SUM(F22:F28)</f>
        <v>14473333.3333333</v>
      </c>
      <c r="F31" s="39" t="s">
        <v>26</v>
      </c>
      <c r="G31" s="40"/>
      <c r="H31" s="41" t="n">
        <f>E31/E32</f>
        <v>0.962322695035459</v>
      </c>
    </row>
    <row r="32" ht="16.5" customHeight="1">
      <c r="A32" s="15"/>
      <c r="B32" s="15"/>
      <c r="C32" s="24" t="s">
        <v>27</v>
      </c>
      <c r="D32" s="10"/>
      <c r="E32" s="8" t="n">
        <f>B30*B31</f>
        <v>15040000</v>
      </c>
      <c r="F32" s="39" t="s">
        <v>28</v>
      </c>
      <c r="G32" s="40"/>
      <c r="H32" s="41" t="n">
        <f>E32/E31</f>
        <v>1.03915246430217</v>
      </c>
    </row>
    <row r="33" ht="16.5" customHeight="1">
      <c r="A33" s="34" t="s">
        <v>104</v>
      </c>
    </row>
    <row r="34" ht="16.5" customHeight="1">
      <c r="A34" s="34" t="s">
        <v>105</v>
      </c>
    </row>
    <row r="35" ht="16.5" customHeight="1">
      <c r="A35" s="34" t="s">
        <v>106</v>
      </c>
    </row>
  </sheetData>
  <mergeCells count="24">
    <mergeCell ref="F12:G12"/>
    <mergeCell ref="F13:G13"/>
    <mergeCell ref="A1:H1"/>
    <mergeCell ref="A2:H2"/>
    <mergeCell ref="C12:D12"/>
    <mergeCell ref="C13:D13"/>
    <mergeCell ref="C14:D14"/>
    <mergeCell ref="F14:G14"/>
    <mergeCell ref="F30:G30"/>
    <mergeCell ref="F31:G31"/>
    <mergeCell ref="A19:H19"/>
    <mergeCell ref="A20:H20"/>
    <mergeCell ref="C30:D30"/>
    <mergeCell ref="C31:D31"/>
    <mergeCell ref="C32:D32"/>
    <mergeCell ref="F32:G32"/>
    <mergeCell ref="S12:T12"/>
    <mergeCell ref="S13:T13"/>
    <mergeCell ref="N1:U1"/>
    <mergeCell ref="N2:U2"/>
    <mergeCell ref="P12:Q12"/>
    <mergeCell ref="P13:Q13"/>
    <mergeCell ref="P14:Q14"/>
    <mergeCell ref="S14:T1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27.251953125" customWidth="1"/>
  </cols>
  <sheetData>
    <row r="1" ht="16.5" customHeight="1">
      <c r="A1" s="30" t="s">
        <v>108</v>
      </c>
      <c r="B1" s="27"/>
      <c r="C1" s="27"/>
      <c r="D1" s="27"/>
      <c r="E1" s="27"/>
      <c r="F1" s="27"/>
      <c r="G1" s="27"/>
      <c r="H1" s="28"/>
      <c r="O1" s="30" t="s">
        <v>108</v>
      </c>
      <c r="P1" s="27"/>
      <c r="Q1" s="27"/>
      <c r="R1" s="27"/>
      <c r="S1" s="27"/>
      <c r="T1" s="27"/>
      <c r="U1" s="27"/>
      <c r="V1" s="28"/>
    </row>
    <row r="2" ht="16.5" customHeight="1">
      <c r="A2" s="15" t="s">
        <v>109</v>
      </c>
      <c r="B2" s="10"/>
      <c r="C2" s="10"/>
      <c r="D2" s="10"/>
      <c r="E2" s="10"/>
      <c r="F2" s="10"/>
      <c r="G2" s="10"/>
      <c r="H2" s="10"/>
      <c r="O2" s="15" t="s">
        <v>109</v>
      </c>
      <c r="P2" s="10"/>
      <c r="Q2" s="10"/>
      <c r="R2" s="10"/>
      <c r="S2" s="10"/>
      <c r="T2" s="10"/>
      <c r="U2" s="10"/>
      <c r="V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10</v>
      </c>
      <c r="X3" s="9" t="s">
        <v>11</v>
      </c>
      <c r="Y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82" t="n">
        <v>265</v>
      </c>
      <c r="E4" s="6" t="n">
        <f>A4*D4</f>
        <v>265000</v>
      </c>
      <c r="F4" s="11" t="n">
        <f>C4*D4</f>
        <v>176666.666666667</v>
      </c>
      <c r="G4" s="12" t="n">
        <f>D4/$B$14</f>
        <v>0.577342047930283</v>
      </c>
      <c r="H4" s="15" t="s">
        <v>110</v>
      </c>
      <c r="I4" s="5"/>
      <c r="J4" s="13"/>
      <c r="K4" s="13" t="n">
        <v>4</v>
      </c>
      <c r="L4" s="13" t="n">
        <f>K4*D4</f>
        <v>1060</v>
      </c>
      <c r="M4" s="32"/>
      <c r="O4" s="6" t="n">
        <v>1000</v>
      </c>
      <c r="P4" s="19" t="n">
        <v>0.4</v>
      </c>
      <c r="Q4" s="7" t="n">
        <f>O4*P4/0.6</f>
        <v>666.666666666667</v>
      </c>
      <c r="R4" s="82" t="n">
        <v>285</v>
      </c>
      <c r="S4" s="6" t="n">
        <f>O4*R4</f>
        <v>285000</v>
      </c>
      <c r="T4" s="11" t="n">
        <f>Q4*R4</f>
        <v>190000</v>
      </c>
      <c r="U4" s="12" t="n">
        <f>R4/$P$14</f>
        <v>0.594989561586639</v>
      </c>
      <c r="V4" s="15" t="s">
        <v>110</v>
      </c>
      <c r="W4" s="5"/>
      <c r="X4" s="13"/>
      <c r="Y4" s="13" t="n">
        <v>4</v>
      </c>
      <c r="Z4" s="13" t="n">
        <f>Y4*R4</f>
        <v>1140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50</v>
      </c>
      <c r="E5" s="6" t="n">
        <f>A5*D5</f>
        <v>500000</v>
      </c>
      <c r="F5" s="11" t="n">
        <f>C5*D5</f>
        <v>333333.333333334</v>
      </c>
      <c r="G5" s="12" t="n">
        <f>D5/$B$14</f>
        <v>0.108932461873638</v>
      </c>
      <c r="H5" s="15" t="s">
        <v>111</v>
      </c>
      <c r="I5" s="35"/>
      <c r="J5" s="13"/>
      <c r="K5" s="13" t="n">
        <f>A5/5000</f>
        <v>2</v>
      </c>
      <c r="L5" s="13" t="n">
        <f>K5*D5</f>
        <v>100</v>
      </c>
      <c r="O5" s="6" t="n">
        <v>10000</v>
      </c>
      <c r="P5" s="19" t="n">
        <v>0.4</v>
      </c>
      <c r="Q5" s="7" t="n">
        <f>O5*P5/0.6</f>
        <v>6666.66666666667</v>
      </c>
      <c r="R5" s="20" t="n">
        <v>50</v>
      </c>
      <c r="S5" s="6" t="n">
        <f>O5*R5</f>
        <v>500000</v>
      </c>
      <c r="T5" s="11" t="n">
        <f>Q5*R5</f>
        <v>333333.333333334</v>
      </c>
      <c r="U5" s="12" t="n">
        <f>R5/$P$14</f>
        <v>0.104384133611691</v>
      </c>
      <c r="V5" s="15" t="s">
        <v>111</v>
      </c>
      <c r="W5" s="35"/>
      <c r="X5" s="13"/>
      <c r="Y5" s="13" t="n">
        <f>O5/5000</f>
        <v>2</v>
      </c>
      <c r="Z5" s="13" t="n">
        <f>Y5*R5</f>
        <v>100</v>
      </c>
    </row>
    <row r="6" ht="16.5" customHeight="1">
      <c r="A6" s="6" t="n">
        <v>10000</v>
      </c>
      <c r="B6" s="19" t="n">
        <v>0.4</v>
      </c>
      <c r="C6" s="7" t="n">
        <f>A6*B6/0.6</f>
        <v>6666.66666666667</v>
      </c>
      <c r="D6" s="20" t="n">
        <v>50</v>
      </c>
      <c r="E6" s="6" t="n">
        <f>A6*D6</f>
        <v>500000</v>
      </c>
      <c r="F6" s="11" t="n">
        <f>C6*D6</f>
        <v>333333.333333334</v>
      </c>
      <c r="G6" s="12" t="n">
        <f>D6/$B$14</f>
        <v>0.108932461873638</v>
      </c>
      <c r="H6" s="15" t="s">
        <v>32</v>
      </c>
      <c r="I6" s="48"/>
      <c r="J6" s="13"/>
      <c r="K6" s="13" t="n">
        <f>A6/5000</f>
        <v>2</v>
      </c>
      <c r="L6" s="13" t="n">
        <f>K6*D6</f>
        <v>100</v>
      </c>
      <c r="O6" s="6" t="n">
        <v>10000</v>
      </c>
      <c r="P6" s="19" t="n">
        <v>0.4</v>
      </c>
      <c r="Q6" s="7" t="n">
        <f>O6*P6/0.6</f>
        <v>6666.66666666667</v>
      </c>
      <c r="R6" s="20" t="n">
        <v>50</v>
      </c>
      <c r="S6" s="6" t="n">
        <f>O6*R6</f>
        <v>500000</v>
      </c>
      <c r="T6" s="11" t="n">
        <f>Q6*R6</f>
        <v>333333.333333334</v>
      </c>
      <c r="U6" s="12" t="n">
        <f>R6/$P$14</f>
        <v>0.104384133611691</v>
      </c>
      <c r="V6" s="15" t="s">
        <v>32</v>
      </c>
      <c r="W6" s="48"/>
      <c r="X6" s="13"/>
      <c r="Y6" s="13" t="n">
        <f>O6/5000</f>
        <v>2</v>
      </c>
      <c r="Z6" s="13" t="n">
        <f>Y6*R6</f>
        <v>100</v>
      </c>
    </row>
    <row r="7" ht="16.5" customHeight="1">
      <c r="A7" s="6" t="n">
        <v>52000</v>
      </c>
      <c r="B7" s="19" t="n">
        <v>0.4</v>
      </c>
      <c r="C7" s="7" t="n">
        <f>A7*B7/0.6</f>
        <v>34666.6666666667</v>
      </c>
      <c r="D7" s="20" t="n">
        <v>50</v>
      </c>
      <c r="E7" s="6" t="n">
        <f>A7*D7</f>
        <v>2600000</v>
      </c>
      <c r="F7" s="11" t="n">
        <f>C7*D7</f>
        <v>1733333.33333334</v>
      </c>
      <c r="G7" s="12" t="n">
        <f>D7/$B$14</f>
        <v>0.108932461873638</v>
      </c>
      <c r="H7" s="21" t="s">
        <v>54</v>
      </c>
      <c r="I7" s="48"/>
      <c r="J7" s="13"/>
      <c r="K7" s="13" t="n">
        <f>A7/5000</f>
        <v>10.4</v>
      </c>
      <c r="L7" s="13" t="n">
        <f>K7*D7</f>
        <v>520</v>
      </c>
      <c r="O7" s="6" t="n">
        <v>52000</v>
      </c>
      <c r="P7" s="19" t="n">
        <v>0.4</v>
      </c>
      <c r="Q7" s="7" t="n">
        <f>O7*P7/0.6</f>
        <v>34666.6666666667</v>
      </c>
      <c r="R7" s="20" t="n">
        <v>50</v>
      </c>
      <c r="S7" s="6" t="n">
        <f>O7*R7</f>
        <v>2600000</v>
      </c>
      <c r="T7" s="11" t="n">
        <f>Q7*R7</f>
        <v>1733333.33333334</v>
      </c>
      <c r="U7" s="12" t="n">
        <f>R7/$P$14</f>
        <v>0.104384133611691</v>
      </c>
      <c r="V7" s="21" t="s">
        <v>54</v>
      </c>
      <c r="W7" s="48"/>
      <c r="X7" s="13"/>
      <c r="Y7" s="13" t="n">
        <f>O7/5000</f>
        <v>10.4</v>
      </c>
      <c r="Z7" s="13" t="n">
        <f>Y7*R7</f>
        <v>520</v>
      </c>
    </row>
    <row r="8" ht="16.5" customHeight="1">
      <c r="A8" s="6" t="n">
        <v>100000</v>
      </c>
      <c r="B8" s="19" t="n">
        <v>0.4</v>
      </c>
      <c r="C8" s="7" t="n">
        <f>A8*B8/0.6</f>
        <v>66666.6666666667</v>
      </c>
      <c r="D8" s="20" t="n">
        <v>20</v>
      </c>
      <c r="E8" s="6" t="n">
        <f>A8*D8</f>
        <v>2000000</v>
      </c>
      <c r="F8" s="11" t="n">
        <f>C8*D8</f>
        <v>1333333.33333333</v>
      </c>
      <c r="G8" s="12" t="n">
        <f>D8/$B$14</f>
        <v>0.0435729847494553</v>
      </c>
      <c r="H8" s="15" t="s">
        <v>56</v>
      </c>
      <c r="I8" s="48"/>
      <c r="J8" s="13"/>
      <c r="K8" s="13" t="n">
        <f>A8/5000</f>
        <v>20</v>
      </c>
      <c r="L8" s="13" t="n">
        <f>K8*D8</f>
        <v>400</v>
      </c>
      <c r="O8" s="6" t="n">
        <v>100000</v>
      </c>
      <c r="P8" s="19" t="n">
        <v>0.4</v>
      </c>
      <c r="Q8" s="7" t="n">
        <f>O8*P8/0.6</f>
        <v>66666.6666666667</v>
      </c>
      <c r="R8" s="20" t="n">
        <v>20</v>
      </c>
      <c r="S8" s="6" t="n">
        <f>O8*R8</f>
        <v>2000000</v>
      </c>
      <c r="T8" s="11" t="n">
        <f>Q8*R8</f>
        <v>1333333.33333333</v>
      </c>
      <c r="U8" s="12" t="n">
        <f>R8/$P$14</f>
        <v>0.0417536534446764</v>
      </c>
      <c r="V8" s="15" t="s">
        <v>56</v>
      </c>
      <c r="W8" s="48"/>
      <c r="X8" s="13"/>
      <c r="Y8" s="13" t="n">
        <f>O8/5000</f>
        <v>20</v>
      </c>
      <c r="Z8" s="13" t="n">
        <f>Y8*R8</f>
        <v>400</v>
      </c>
    </row>
    <row r="9" ht="16.5" customHeight="1">
      <c r="A9" s="6" t="n">
        <v>100000</v>
      </c>
      <c r="B9" s="19" t="n">
        <v>0.4</v>
      </c>
      <c r="C9" s="7" t="n">
        <f>A9*B9/0.6</f>
        <v>66666.6666666667</v>
      </c>
      <c r="D9" s="20" t="n">
        <v>20</v>
      </c>
      <c r="E9" s="6" t="n">
        <f>A9*D9</f>
        <v>2000000</v>
      </c>
      <c r="F9" s="11" t="n">
        <f>C9*D9</f>
        <v>1333333.33333333</v>
      </c>
      <c r="G9" s="12" t="n">
        <f>D9/$B$14</f>
        <v>0.0435729847494553</v>
      </c>
      <c r="H9" s="15" t="s">
        <v>57</v>
      </c>
      <c r="I9" s="48"/>
      <c r="J9" s="13"/>
      <c r="K9" s="13" t="n">
        <f>A9/5000</f>
        <v>20</v>
      </c>
      <c r="L9" s="13" t="n">
        <f>K9*D9</f>
        <v>400</v>
      </c>
      <c r="O9" s="6" t="n">
        <v>100000</v>
      </c>
      <c r="P9" s="19" t="n">
        <v>0.4</v>
      </c>
      <c r="Q9" s="7" t="n">
        <f>O9*P9/0.6</f>
        <v>66666.6666666667</v>
      </c>
      <c r="R9" s="20" t="n">
        <v>20</v>
      </c>
      <c r="S9" s="6" t="n">
        <f>O9*R9</f>
        <v>2000000</v>
      </c>
      <c r="T9" s="11" t="n">
        <f>Q9*R9</f>
        <v>1333333.33333333</v>
      </c>
      <c r="U9" s="12" t="n">
        <f>R9/$P$14</f>
        <v>0.0417536534446764</v>
      </c>
      <c r="V9" s="15" t="s">
        <v>57</v>
      </c>
      <c r="W9" s="48"/>
      <c r="X9" s="13"/>
      <c r="Y9" s="13" t="n">
        <f>O9/5000</f>
        <v>20</v>
      </c>
      <c r="Z9" s="13" t="n">
        <f>Y9*R9</f>
        <v>400</v>
      </c>
    </row>
    <row r="10" ht="16.5" customHeight="1">
      <c r="A10" s="6"/>
      <c r="B10" s="19"/>
      <c r="C10" s="7"/>
      <c r="D10" s="20"/>
      <c r="E10" s="6"/>
      <c r="F10" s="11"/>
      <c r="G10" s="12"/>
      <c r="H10" s="15"/>
      <c r="I10" s="48"/>
      <c r="J10" s="13"/>
      <c r="K10" s="13" t="n">
        <f>A10/5000</f>
        <v>0</v>
      </c>
      <c r="L10" s="13" t="n">
        <f>K10*D10</f>
        <v>0</v>
      </c>
      <c r="O10" s="6"/>
      <c r="P10" s="19"/>
      <c r="Q10" s="7"/>
      <c r="R10" s="20"/>
      <c r="S10" s="6"/>
      <c r="T10" s="11"/>
      <c r="U10" s="12" t="n">
        <f>R10/$P$14</f>
        <v>0</v>
      </c>
      <c r="V10" s="15"/>
      <c r="W10" s="48"/>
      <c r="X10" s="13"/>
      <c r="Y10" s="13" t="n">
        <f>O10/5000</f>
        <v>0</v>
      </c>
      <c r="Z10" s="13" t="n">
        <f>Y10*R10</f>
        <v>0</v>
      </c>
    </row>
    <row r="11" ht="16.5" customHeight="1">
      <c r="A11" s="6" t="n">
        <v>520000</v>
      </c>
      <c r="B11" s="19" t="n">
        <v>0.4</v>
      </c>
      <c r="C11" s="7" t="n">
        <f>A11*B11/0.6</f>
        <v>346666.666666667</v>
      </c>
      <c r="D11" s="20" t="n">
        <v>2</v>
      </c>
      <c r="E11" s="6" t="n">
        <f>A11*D11</f>
        <v>1040000</v>
      </c>
      <c r="F11" s="11" t="n">
        <f>C11*D11</f>
        <v>693333.333333334</v>
      </c>
      <c r="G11" s="12" t="n">
        <f>D11/$B$14</f>
        <v>0.00435729847494553</v>
      </c>
      <c r="H11" s="15" t="s">
        <v>88</v>
      </c>
      <c r="I11" s="48"/>
      <c r="J11" s="13"/>
      <c r="K11" s="13" t="n">
        <f>A11/5000</f>
        <v>104</v>
      </c>
      <c r="L11" s="13" t="n">
        <f>K11*D11</f>
        <v>208</v>
      </c>
      <c r="O11" s="6" t="n">
        <v>520000</v>
      </c>
      <c r="P11" s="19" t="n">
        <v>0.4</v>
      </c>
      <c r="Q11" s="7" t="n">
        <f>O11*P11/0.6</f>
        <v>346666.666666667</v>
      </c>
      <c r="R11" s="20" t="n">
        <v>2</v>
      </c>
      <c r="S11" s="6" t="n">
        <f>O11*R11</f>
        <v>1040000</v>
      </c>
      <c r="T11" s="11" t="n">
        <f>Q11*R11</f>
        <v>693333.333333334</v>
      </c>
      <c r="U11" s="12" t="n">
        <f>R11/$P$14</f>
        <v>0.00417536534446764</v>
      </c>
      <c r="V11" s="15" t="s">
        <v>88</v>
      </c>
      <c r="W11" s="48"/>
      <c r="X11" s="13"/>
      <c r="Y11" s="13" t="n">
        <f>O11/5000</f>
        <v>104</v>
      </c>
      <c r="Z11" s="13" t="n">
        <f>Y11*R11</f>
        <v>208</v>
      </c>
    </row>
    <row r="12" ht="16.5" customHeight="1">
      <c r="A12" s="6" t="n">
        <v>2000000</v>
      </c>
      <c r="B12" s="19" t="n">
        <v>0.4</v>
      </c>
      <c r="C12" s="7" t="n">
        <f>A12*B12/0.6</f>
        <v>1333333.33333333</v>
      </c>
      <c r="D12" s="20" t="n">
        <v>2</v>
      </c>
      <c r="E12" s="6" t="n">
        <f>A12*D12</f>
        <v>4000000</v>
      </c>
      <c r="F12" s="11" t="n">
        <f>C12*D12</f>
        <v>2666666.66666666</v>
      </c>
      <c r="G12" s="12" t="n">
        <f>D12/$B$14</f>
        <v>0.00435729847494553</v>
      </c>
      <c r="H12" s="15" t="s">
        <v>112</v>
      </c>
      <c r="I12" s="35"/>
      <c r="J12" s="13" t="s">
        <v>43</v>
      </c>
      <c r="K12" s="13" t="n">
        <f>A12/5000</f>
        <v>400</v>
      </c>
      <c r="L12" s="13" t="n">
        <f>K12*D12</f>
        <v>800</v>
      </c>
      <c r="O12" s="6" t="n">
        <v>2000000</v>
      </c>
      <c r="P12" s="19" t="n">
        <v>0.4</v>
      </c>
      <c r="Q12" s="7" t="n">
        <f>O12*P12/0.6</f>
        <v>1333333.33333333</v>
      </c>
      <c r="R12" s="20" t="n">
        <v>2</v>
      </c>
      <c r="S12" s="6" t="n">
        <f>O12*R12</f>
        <v>4000000</v>
      </c>
      <c r="T12" s="11" t="n">
        <f>Q12*R12</f>
        <v>2666666.66666666</v>
      </c>
      <c r="U12" s="12" t="n">
        <f>R12/$P$14</f>
        <v>0.00417536534446764</v>
      </c>
      <c r="V12" s="15" t="s">
        <v>112</v>
      </c>
      <c r="W12" s="35"/>
      <c r="X12" s="13" t="s">
        <v>43</v>
      </c>
      <c r="Y12" s="13" t="n">
        <f>O12/5000</f>
        <v>400</v>
      </c>
      <c r="Z12" s="13" t="n">
        <f>Y12*R12</f>
        <v>800</v>
      </c>
    </row>
    <row r="13" ht="16.5" customHeight="1">
      <c r="A13" s="17"/>
      <c r="B13" s="17"/>
      <c r="C13" s="17"/>
      <c r="D13" s="17"/>
      <c r="E13" s="17"/>
      <c r="F13" s="17"/>
      <c r="G13" s="17"/>
      <c r="H13" s="17"/>
      <c r="O13" s="17"/>
      <c r="P13" s="17"/>
      <c r="Q13" s="17"/>
      <c r="R13" s="17"/>
      <c r="S13" s="17"/>
      <c r="T13" s="17"/>
      <c r="U13" s="17"/>
      <c r="V13" s="17"/>
    </row>
    <row r="14" ht="16.5" customHeight="1">
      <c r="A14" s="22" t="s">
        <v>21</v>
      </c>
      <c r="B14" s="23" t="n">
        <f>SUM(D4:D12)</f>
        <v>459</v>
      </c>
      <c r="C14" s="24" t="s">
        <v>22</v>
      </c>
      <c r="D14" s="10"/>
      <c r="E14" s="31" t="n">
        <f>SUM(E4:E12)</f>
        <v>12905000</v>
      </c>
      <c r="F14" s="39" t="s">
        <v>23</v>
      </c>
      <c r="G14" s="40"/>
      <c r="H14" s="41" t="n">
        <f>E14/E16</f>
        <v>1.4057734204793</v>
      </c>
      <c r="O14" s="22" t="s">
        <v>21</v>
      </c>
      <c r="P14" s="23" t="n">
        <f>SUM(R4:R12)</f>
        <v>479</v>
      </c>
      <c r="Q14" s="24" t="s">
        <v>22</v>
      </c>
      <c r="R14" s="10"/>
      <c r="S14" s="31" t="n">
        <f>SUM(S4:S12)</f>
        <v>12925000</v>
      </c>
      <c r="T14" s="39" t="s">
        <v>23</v>
      </c>
      <c r="U14" s="40"/>
      <c r="V14" s="41" t="n">
        <f>S14/S16</f>
        <v>1.34916492693111</v>
      </c>
    </row>
    <row r="15" ht="16.5" customHeight="1">
      <c r="A15" s="22" t="s">
        <v>24</v>
      </c>
      <c r="B15" s="22" t="n">
        <v>20000</v>
      </c>
      <c r="C15" s="24" t="s">
        <v>25</v>
      </c>
      <c r="D15" s="10"/>
      <c r="E15" s="31" t="n">
        <f>SUM(F4:F12)</f>
        <v>8603333.33333333</v>
      </c>
      <c r="F15" s="39" t="s">
        <v>26</v>
      </c>
      <c r="G15" s="40"/>
      <c r="H15" s="41" t="n">
        <f>E15/E16</f>
        <v>0.937182280319535</v>
      </c>
      <c r="O15" s="22" t="s">
        <v>24</v>
      </c>
      <c r="P15" s="22" t="n">
        <v>20000</v>
      </c>
      <c r="Q15" s="24" t="s">
        <v>25</v>
      </c>
      <c r="R15" s="10"/>
      <c r="S15" s="31" t="n">
        <f>SUM(T4:T12)</f>
        <v>8616666.66666666</v>
      </c>
      <c r="T15" s="39" t="s">
        <v>26</v>
      </c>
      <c r="U15" s="40"/>
      <c r="V15" s="41" t="n">
        <f>S15/S16</f>
        <v>0.899443284620737</v>
      </c>
    </row>
    <row r="16" ht="16.5" customHeight="1">
      <c r="A16" s="15"/>
      <c r="B16" s="15"/>
      <c r="C16" s="24" t="s">
        <v>27</v>
      </c>
      <c r="D16" s="10"/>
      <c r="E16" s="8" t="n">
        <f>B14*B15</f>
        <v>9180000</v>
      </c>
      <c r="F16" s="39" t="s">
        <v>28</v>
      </c>
      <c r="G16" s="40"/>
      <c r="H16" s="41" t="n">
        <f>E16/E15</f>
        <v>1.067028283611</v>
      </c>
      <c r="O16" s="15"/>
      <c r="P16" s="15"/>
      <c r="Q16" s="24" t="s">
        <v>27</v>
      </c>
      <c r="R16" s="10"/>
      <c r="S16" s="8" t="n">
        <f>P14*P15</f>
        <v>9580000</v>
      </c>
      <c r="T16" s="39" t="s">
        <v>28</v>
      </c>
      <c r="U16" s="40"/>
      <c r="V16" s="41" t="n">
        <f>S16/S15</f>
        <v>1.11179883945841</v>
      </c>
    </row>
    <row r="17" ht="16.5" customHeight="1">
      <c r="A17" s="9" t="s">
        <v>51</v>
      </c>
      <c r="B17" s="34" t="s">
        <v>90</v>
      </c>
      <c r="H17" s="5" t="n">
        <f>100*B15*(1.45-H14)</f>
        <v>88453.1590414</v>
      </c>
      <c r="O17" s="9" t="s">
        <v>51</v>
      </c>
      <c r="P17" s="34" t="s">
        <v>90</v>
      </c>
      <c r="V17" s="5" t="n">
        <f>100*P15*(1.45-V14)</f>
        <v>201670.14613778</v>
      </c>
    </row>
    <row r="18" ht="16.5" customHeight="1">
      <c r="A18" s="9" t="s">
        <v>64</v>
      </c>
      <c r="B18" s="34" t="s">
        <v>91</v>
      </c>
      <c r="O18" s="9" t="s">
        <v>64</v>
      </c>
      <c r="P18" s="34" t="s">
        <v>91</v>
      </c>
    </row>
    <row r="19" ht="16.5" customHeight="1">
      <c r="A19" s="9" t="s">
        <v>74</v>
      </c>
      <c r="B19" s="34" t="s">
        <v>91</v>
      </c>
      <c r="O19" s="9" t="s">
        <v>74</v>
      </c>
      <c r="P19" s="34" t="s">
        <v>91</v>
      </c>
    </row>
    <row r="20" ht="16.5" customHeight="1">
      <c r="A20" s="9" t="s">
        <v>77</v>
      </c>
      <c r="B20" s="34" t="s">
        <v>91</v>
      </c>
      <c r="O20" s="9" t="s">
        <v>77</v>
      </c>
      <c r="P20" s="34" t="s">
        <v>91</v>
      </c>
    </row>
    <row r="21" ht="16.5" customHeight="1">
      <c r="A21" s="9" t="s">
        <v>77</v>
      </c>
      <c r="B21" s="34" t="s">
        <v>91</v>
      </c>
      <c r="O21" s="9" t="s">
        <v>77</v>
      </c>
      <c r="P21" s="34" t="s">
        <v>91</v>
      </c>
    </row>
    <row r="24" ht="16.5" customHeight="1">
      <c r="A24" s="30" t="s">
        <v>113</v>
      </c>
      <c r="B24" s="27"/>
      <c r="C24" s="27"/>
      <c r="D24" s="27"/>
      <c r="E24" s="27"/>
      <c r="F24" s="27"/>
      <c r="G24" s="27"/>
      <c r="H24" s="28"/>
    </row>
    <row r="25" ht="16.5" customHeight="1">
      <c r="A25" s="15" t="s">
        <v>109</v>
      </c>
      <c r="B25" s="10"/>
      <c r="C25" s="10"/>
      <c r="D25" s="10"/>
      <c r="E25" s="10"/>
      <c r="F25" s="10"/>
      <c r="G25" s="10"/>
      <c r="H25" s="10"/>
    </row>
    <row r="26" ht="16.5" customHeight="1">
      <c r="A26" s="17" t="s">
        <v>2</v>
      </c>
      <c r="B26" s="15" t="s">
        <v>3</v>
      </c>
      <c r="C26" s="18" t="s">
        <v>4</v>
      </c>
      <c r="D26" s="20" t="s">
        <v>5</v>
      </c>
      <c r="E26" s="17" t="s">
        <v>6</v>
      </c>
      <c r="F26" s="15" t="s">
        <v>7</v>
      </c>
      <c r="G26" s="15" t="s">
        <v>8</v>
      </c>
      <c r="H26" s="17" t="s">
        <v>9</v>
      </c>
      <c r="I26" s="9" t="s">
        <v>10</v>
      </c>
      <c r="J26" s="9" t="s">
        <v>11</v>
      </c>
      <c r="K26" s="9" t="s">
        <v>12</v>
      </c>
    </row>
    <row r="27" ht="16.5" customHeight="1">
      <c r="A27" s="6" t="n">
        <v>1000</v>
      </c>
      <c r="B27" s="19" t="n">
        <v>0.4</v>
      </c>
      <c r="C27" s="7" t="n">
        <f>A27*B27/0.6</f>
        <v>666.666666666667</v>
      </c>
      <c r="D27" s="82" t="n">
        <v>530</v>
      </c>
      <c r="E27" s="6" t="n">
        <f>A27*D27</f>
        <v>530000</v>
      </c>
      <c r="F27" s="11" t="n">
        <f>C27*D27</f>
        <v>353333.333333334</v>
      </c>
      <c r="G27" s="12" t="n">
        <f>D27/$B$36</f>
        <v>0.577342047930283</v>
      </c>
      <c r="H27" s="15" t="s">
        <v>110</v>
      </c>
      <c r="I27" s="5"/>
      <c r="J27" s="13"/>
      <c r="K27" s="13" t="n">
        <v>4</v>
      </c>
      <c r="L27" s="13" t="n">
        <f>K27*D27</f>
        <v>2120</v>
      </c>
    </row>
    <row r="28" ht="16.5" customHeight="1">
      <c r="A28" s="6" t="n">
        <v>10000</v>
      </c>
      <c r="B28" s="19" t="n">
        <v>0.4</v>
      </c>
      <c r="C28" s="7" t="n">
        <f>A28*B28/0.6</f>
        <v>6666.66666666667</v>
      </c>
      <c r="D28" s="20" t="n">
        <v>100</v>
      </c>
      <c r="E28" s="6" t="n">
        <f>A28*D28</f>
        <v>1000000</v>
      </c>
      <c r="F28" s="11" t="n">
        <f>C28*D28</f>
        <v>666666.666666667</v>
      </c>
      <c r="G28" s="12" t="n">
        <f>D28/$B$36</f>
        <v>0.108932461873638</v>
      </c>
      <c r="H28" s="15" t="s">
        <v>111</v>
      </c>
      <c r="I28" s="35"/>
      <c r="J28" s="13"/>
      <c r="K28" s="13" t="n">
        <f>A28/5000</f>
        <v>2</v>
      </c>
      <c r="L28" s="13" t="n">
        <f>K28*D28</f>
        <v>200</v>
      </c>
    </row>
    <row r="29" ht="16.5" customHeight="1">
      <c r="A29" s="6" t="n">
        <v>10000</v>
      </c>
      <c r="B29" s="19" t="n">
        <v>0.4</v>
      </c>
      <c r="C29" s="7" t="n">
        <f>A29*B29/0.6</f>
        <v>6666.66666666667</v>
      </c>
      <c r="D29" s="20" t="n">
        <v>100</v>
      </c>
      <c r="E29" s="6" t="n">
        <f>A29*D29</f>
        <v>1000000</v>
      </c>
      <c r="F29" s="11" t="n">
        <f>C29*D29</f>
        <v>666666.666666667</v>
      </c>
      <c r="G29" s="12" t="n">
        <f>D29/$B$36</f>
        <v>0.108932461873638</v>
      </c>
      <c r="H29" s="15" t="s">
        <v>32</v>
      </c>
      <c r="I29" s="48"/>
      <c r="J29" s="13"/>
      <c r="K29" s="13"/>
      <c r="L29" s="13"/>
    </row>
    <row r="30" ht="16.5" customHeight="1">
      <c r="A30" s="6" t="n">
        <v>52000</v>
      </c>
      <c r="B30" s="19" t="n">
        <v>0.4</v>
      </c>
      <c r="C30" s="7" t="n">
        <f>A30*B30/0.6</f>
        <v>34666.6666666667</v>
      </c>
      <c r="D30" s="20" t="n">
        <v>100</v>
      </c>
      <c r="E30" s="6" t="n">
        <f>A30*D30</f>
        <v>5200000</v>
      </c>
      <c r="F30" s="11" t="n">
        <f>C30*D30</f>
        <v>3466666.66666667</v>
      </c>
      <c r="G30" s="12" t="n">
        <f>D30/$B$36</f>
        <v>0.108932461873638</v>
      </c>
      <c r="H30" s="21" t="s">
        <v>54</v>
      </c>
      <c r="I30" s="48"/>
      <c r="J30" s="13"/>
      <c r="K30" s="13" t="n">
        <f>A30/5000</f>
        <v>10.4</v>
      </c>
      <c r="L30" s="13" t="n">
        <f>K30*D30</f>
        <v>1040</v>
      </c>
    </row>
    <row r="31" ht="16.5" customHeight="1">
      <c r="A31" s="6" t="n">
        <v>100000</v>
      </c>
      <c r="B31" s="19" t="n">
        <v>0.4</v>
      </c>
      <c r="C31" s="7" t="n">
        <f>A31*B31/0.6</f>
        <v>66666.6666666667</v>
      </c>
      <c r="D31" s="20" t="n">
        <v>40</v>
      </c>
      <c r="E31" s="6" t="n">
        <f>A31*D31</f>
        <v>4000000</v>
      </c>
      <c r="F31" s="11" t="n">
        <f>C31*D31</f>
        <v>2666666.66666667</v>
      </c>
      <c r="G31" s="12" t="n">
        <f>D31/$B$36</f>
        <v>0.0435729847494553</v>
      </c>
      <c r="H31" s="15" t="s">
        <v>56</v>
      </c>
      <c r="I31" s="48"/>
      <c r="J31" s="13"/>
      <c r="K31" s="13" t="n">
        <f>A31/5000</f>
        <v>20</v>
      </c>
      <c r="L31" s="13" t="n">
        <f>K31*D31</f>
        <v>800</v>
      </c>
    </row>
    <row r="32" ht="16.5" customHeight="1">
      <c r="A32" s="6" t="n">
        <v>100000</v>
      </c>
      <c r="B32" s="19" t="n">
        <v>0.4</v>
      </c>
      <c r="C32" s="7" t="n">
        <f>A32*B32/0.6</f>
        <v>66666.6666666667</v>
      </c>
      <c r="D32" s="20" t="n">
        <v>40</v>
      </c>
      <c r="E32" s="6" t="n">
        <f>A32*D32</f>
        <v>4000000</v>
      </c>
      <c r="F32" s="11" t="n">
        <f>C32*D32</f>
        <v>2666666.66666667</v>
      </c>
      <c r="G32" s="12" t="n">
        <f>D32/$B$36</f>
        <v>0.0435729847494553</v>
      </c>
      <c r="H32" s="15" t="s">
        <v>57</v>
      </c>
      <c r="I32" s="48"/>
      <c r="J32" s="13"/>
      <c r="K32" s="13" t="n">
        <f>A32/5000</f>
        <v>20</v>
      </c>
      <c r="L32" s="13" t="n">
        <f>K32*D32</f>
        <v>800</v>
      </c>
    </row>
    <row r="33" ht="16.5" customHeight="1">
      <c r="A33" s="6" t="n">
        <v>520000</v>
      </c>
      <c r="B33" s="19" t="n">
        <v>0.4</v>
      </c>
      <c r="C33" s="7" t="n">
        <f>A33*B33/0.6</f>
        <v>346666.666666667</v>
      </c>
      <c r="D33" s="20" t="n">
        <v>4</v>
      </c>
      <c r="E33" s="6" t="n">
        <f>A33*D33</f>
        <v>2080000</v>
      </c>
      <c r="F33" s="11" t="n">
        <f>C33*D33</f>
        <v>1386666.66666667</v>
      </c>
      <c r="G33" s="12" t="n">
        <f>D33/$B$36</f>
        <v>0.00435729847494553</v>
      </c>
      <c r="H33" s="15" t="s">
        <v>88</v>
      </c>
      <c r="I33" s="48"/>
      <c r="J33" s="13"/>
      <c r="K33" s="13" t="n">
        <f>A33/5000</f>
        <v>104</v>
      </c>
      <c r="L33" s="13" t="n">
        <f>K33*D33</f>
        <v>416</v>
      </c>
    </row>
    <row r="34" ht="16.5" customHeight="1">
      <c r="A34" s="6" t="n">
        <v>2000000</v>
      </c>
      <c r="B34" s="19" t="n">
        <v>0.4</v>
      </c>
      <c r="C34" s="7" t="n">
        <f>A34*B34/0.6</f>
        <v>1333333.33333333</v>
      </c>
      <c r="D34" s="20" t="n">
        <v>4</v>
      </c>
      <c r="E34" s="6" t="n">
        <f>A34*D34</f>
        <v>8000000</v>
      </c>
      <c r="F34" s="11" t="n">
        <f>C34*D34</f>
        <v>5333333.33333332</v>
      </c>
      <c r="G34" s="12" t="n">
        <f>D34/$B$36</f>
        <v>0.00435729847494553</v>
      </c>
      <c r="H34" s="15" t="s">
        <v>112</v>
      </c>
      <c r="I34" s="35"/>
      <c r="J34" s="13" t="s">
        <v>43</v>
      </c>
      <c r="K34" s="13" t="n">
        <f>A34/5000</f>
        <v>400</v>
      </c>
      <c r="L34" s="13" t="n">
        <f>K34*D34</f>
        <v>1600</v>
      </c>
    </row>
    <row r="35" ht="16.5" customHeight="1">
      <c r="A35" s="17"/>
      <c r="B35" s="17"/>
      <c r="C35" s="17"/>
      <c r="D35" s="17"/>
      <c r="E35" s="17"/>
      <c r="F35" s="17"/>
      <c r="G35" s="17"/>
      <c r="H35" s="17"/>
    </row>
    <row r="36" ht="16.5" customHeight="1">
      <c r="A36" s="22" t="s">
        <v>21</v>
      </c>
      <c r="B36" s="23" t="n">
        <f>SUM(D27:D34)</f>
        <v>918</v>
      </c>
      <c r="C36" s="24" t="s">
        <v>22</v>
      </c>
      <c r="D36" s="10"/>
      <c r="E36" s="31" t="n">
        <f>SUM(E27:E34)</f>
        <v>25810000</v>
      </c>
      <c r="F36" s="39" t="s">
        <v>23</v>
      </c>
      <c r="G36" s="40"/>
      <c r="H36" s="41" t="n">
        <f>E36/E38</f>
        <v>1.4057734204793</v>
      </c>
    </row>
    <row r="37" ht="16.5" customHeight="1">
      <c r="A37" s="22" t="s">
        <v>24</v>
      </c>
      <c r="B37" s="22" t="n">
        <v>20000</v>
      </c>
      <c r="C37" s="24" t="s">
        <v>25</v>
      </c>
      <c r="D37" s="10"/>
      <c r="E37" s="31" t="n">
        <f>SUM(F27:F34)</f>
        <v>17206666.6666667</v>
      </c>
      <c r="F37" s="39" t="s">
        <v>26</v>
      </c>
      <c r="G37" s="40"/>
      <c r="H37" s="41" t="n">
        <f>E37/E38</f>
        <v>0.937182280319537</v>
      </c>
    </row>
    <row r="38" ht="16.5" customHeight="1">
      <c r="A38" s="15"/>
      <c r="B38" s="15"/>
      <c r="C38" s="24" t="s">
        <v>27</v>
      </c>
      <c r="D38" s="10"/>
      <c r="E38" s="8" t="n">
        <f>B36*B37</f>
        <v>18360000</v>
      </c>
      <c r="F38" s="39" t="s">
        <v>28</v>
      </c>
      <c r="G38" s="40"/>
      <c r="H38" s="41" t="n">
        <f>E38/E37</f>
        <v>1.067028283611</v>
      </c>
    </row>
  </sheetData>
  <mergeCells count="24">
    <mergeCell ref="F36:G36"/>
    <mergeCell ref="F37:G37"/>
    <mergeCell ref="A24:H24"/>
    <mergeCell ref="A25:H25"/>
    <mergeCell ref="C36:D36"/>
    <mergeCell ref="C37:D37"/>
    <mergeCell ref="C38:D38"/>
    <mergeCell ref="F38:G38"/>
    <mergeCell ref="F14:G14"/>
    <mergeCell ref="F15:G15"/>
    <mergeCell ref="A1:H1"/>
    <mergeCell ref="A2:H2"/>
    <mergeCell ref="C14:D14"/>
    <mergeCell ref="C15:D15"/>
    <mergeCell ref="C16:D16"/>
    <mergeCell ref="F16:G16"/>
    <mergeCell ref="T14:U14"/>
    <mergeCell ref="T15:U15"/>
    <mergeCell ref="O1:V1"/>
    <mergeCell ref="O2:V2"/>
    <mergeCell ref="Q14:R14"/>
    <mergeCell ref="Q15:R15"/>
    <mergeCell ref="Q16:R16"/>
    <mergeCell ref="T16:U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27.251953125" customWidth="1"/>
    <col min="22" max="22" width="25.7490234375" customWidth="1"/>
  </cols>
  <sheetData>
    <row r="1" ht="16.5" customHeight="1">
      <c r="A1" s="30" t="s">
        <v>114</v>
      </c>
      <c r="B1" s="27"/>
      <c r="C1" s="27"/>
      <c r="D1" s="27"/>
      <c r="E1" s="27"/>
      <c r="F1" s="27"/>
      <c r="G1" s="27"/>
      <c r="H1" s="28"/>
      <c r="O1" s="30" t="s">
        <v>114</v>
      </c>
      <c r="P1" s="27"/>
      <c r="Q1" s="27"/>
      <c r="R1" s="27"/>
      <c r="S1" s="27"/>
      <c r="T1" s="27"/>
      <c r="U1" s="27"/>
      <c r="V1" s="28"/>
    </row>
    <row r="2" ht="16.5" customHeight="1">
      <c r="A2" s="15" t="s">
        <v>1</v>
      </c>
      <c r="B2" s="10"/>
      <c r="C2" s="10"/>
      <c r="D2" s="10"/>
      <c r="E2" s="10"/>
      <c r="F2" s="10"/>
      <c r="G2" s="10"/>
      <c r="H2" s="10"/>
      <c r="O2" s="15" t="s">
        <v>1</v>
      </c>
      <c r="P2" s="10"/>
      <c r="Q2" s="10"/>
      <c r="R2" s="10"/>
      <c r="S2" s="10"/>
      <c r="T2" s="10"/>
      <c r="U2" s="10"/>
      <c r="V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10</v>
      </c>
      <c r="X3" s="9" t="s">
        <v>11</v>
      </c>
      <c r="Y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20" t="n">
        <v>485</v>
      </c>
      <c r="E4" s="6" t="n">
        <f>A4*D4</f>
        <v>485000</v>
      </c>
      <c r="F4" s="11" t="n">
        <f>C4*D4</f>
        <v>323333.333333334</v>
      </c>
      <c r="G4" s="12" t="n">
        <f>D4/$B$18</f>
        <v>0.766192733017378</v>
      </c>
      <c r="H4" s="15" t="s">
        <v>31</v>
      </c>
      <c r="I4" s="5"/>
      <c r="J4" s="13"/>
      <c r="K4" s="13" t="n">
        <v>4</v>
      </c>
      <c r="L4" s="13" t="n">
        <f>K4*D4</f>
        <v>1940</v>
      </c>
      <c r="M4" s="32"/>
      <c r="O4" s="6" t="n">
        <v>1000</v>
      </c>
      <c r="P4" s="19" t="n">
        <v>0.4</v>
      </c>
      <c r="Q4" s="7" t="n">
        <f>O4*P4/0.6</f>
        <v>666.666666666667</v>
      </c>
      <c r="R4" s="82" t="n">
        <v>510</v>
      </c>
      <c r="S4" s="6" t="n">
        <f>O4*R4</f>
        <v>510000</v>
      </c>
      <c r="T4" s="11" t="n">
        <f>Q4*R4</f>
        <v>340000</v>
      </c>
      <c r="U4" s="12" t="n">
        <f>R4/$P$18</f>
        <v>0.775075987841945</v>
      </c>
      <c r="V4" s="15" t="s">
        <v>31</v>
      </c>
      <c r="W4" s="5"/>
      <c r="X4" s="13"/>
      <c r="Y4" s="13" t="n">
        <v>4</v>
      </c>
      <c r="Z4" s="13" t="n">
        <f>Y4*R4</f>
        <v>2040</v>
      </c>
    </row>
    <row r="5" ht="16.5" customHeight="1">
      <c r="A5" s="6" t="n">
        <v>20000</v>
      </c>
      <c r="B5" s="19" t="n">
        <v>0.4</v>
      </c>
      <c r="C5" s="7" t="n">
        <f>A5*B5/0.6</f>
        <v>13333.3333333333</v>
      </c>
      <c r="D5" s="20" t="n">
        <v>100</v>
      </c>
      <c r="E5" s="6" t="n">
        <f>A5*D5</f>
        <v>2000000</v>
      </c>
      <c r="F5" s="11" t="n">
        <f>C5*D5</f>
        <v>1333333.33333333</v>
      </c>
      <c r="G5" s="12" t="n">
        <f>D5/$B$18</f>
        <v>0.157977883096367</v>
      </c>
      <c r="H5" s="15" t="s">
        <v>115</v>
      </c>
      <c r="I5" s="35"/>
      <c r="J5" s="13"/>
      <c r="K5" s="13" t="n">
        <f>A5/5000</f>
        <v>4</v>
      </c>
      <c r="L5" s="13" t="n">
        <f>K5*D5</f>
        <v>400</v>
      </c>
      <c r="O5" s="6" t="n">
        <v>20000</v>
      </c>
      <c r="P5" s="19" t="n">
        <v>0.4</v>
      </c>
      <c r="Q5" s="7" t="n">
        <f>O5*P5/0.6</f>
        <v>13333.3333333333</v>
      </c>
      <c r="R5" s="20" t="n">
        <v>100</v>
      </c>
      <c r="S5" s="6" t="n">
        <f>O5*R5</f>
        <v>2000000</v>
      </c>
      <c r="T5" s="11" t="n">
        <f>Q5*R5</f>
        <v>1333333.33333333</v>
      </c>
      <c r="U5" s="12" t="n">
        <f>R5/$P$18</f>
        <v>0.151975683890578</v>
      </c>
      <c r="V5" s="15" t="s">
        <v>115</v>
      </c>
      <c r="W5" s="35"/>
      <c r="X5" s="13"/>
      <c r="Y5" s="13" t="n">
        <f>O5/5000</f>
        <v>4</v>
      </c>
      <c r="Z5" s="13" t="n">
        <f>Y5*R5</f>
        <v>400</v>
      </c>
    </row>
    <row r="6" ht="16.5" customHeight="1">
      <c r="A6" s="6" t="n">
        <v>52000</v>
      </c>
      <c r="B6" s="19" t="n">
        <v>0.4</v>
      </c>
      <c r="C6" s="7" t="n">
        <f>A6*B6/0.6</f>
        <v>34666.6666666667</v>
      </c>
      <c r="D6" s="20" t="n">
        <v>30</v>
      </c>
      <c r="E6" s="6" t="n">
        <f>A6*D6</f>
        <v>1560000</v>
      </c>
      <c r="F6" s="11" t="n">
        <f>C6*D6</f>
        <v>1040000</v>
      </c>
      <c r="G6" s="12" t="n">
        <f>D6/$B$18</f>
        <v>0.04739336492891</v>
      </c>
      <c r="H6" s="15" t="s">
        <v>54</v>
      </c>
      <c r="I6" s="35"/>
      <c r="J6" s="13"/>
      <c r="K6" s="13" t="n">
        <f>A6/5000</f>
        <v>10.4</v>
      </c>
      <c r="L6" s="13" t="n">
        <f>K6*D6</f>
        <v>312</v>
      </c>
      <c r="O6" s="6" t="n">
        <v>52000</v>
      </c>
      <c r="P6" s="19" t="n">
        <v>0.4</v>
      </c>
      <c r="Q6" s="7" t="n">
        <f>O6*P6/0.6</f>
        <v>34666.6666666667</v>
      </c>
      <c r="R6" s="20" t="n">
        <v>30</v>
      </c>
      <c r="S6" s="6" t="n">
        <f>O6*R6</f>
        <v>1560000</v>
      </c>
      <c r="T6" s="11" t="n">
        <f>Q6*R6</f>
        <v>1040000</v>
      </c>
      <c r="U6" s="12" t="n">
        <f>R6/$P$18</f>
        <v>0.0455927051671733</v>
      </c>
      <c r="V6" s="15" t="s">
        <v>54</v>
      </c>
      <c r="W6" s="35"/>
      <c r="X6" s="13"/>
      <c r="Y6" s="13" t="n">
        <f>O6/5000</f>
        <v>10.4</v>
      </c>
      <c r="Z6" s="13" t="n">
        <f>Y6*R6</f>
        <v>312</v>
      </c>
    </row>
    <row r="7" ht="16.5" customHeight="1">
      <c r="A7" s="6" t="n">
        <v>100000</v>
      </c>
      <c r="B7" s="19" t="n">
        <v>0.4</v>
      </c>
      <c r="C7" s="7" t="n">
        <f>A7*B7/0.6</f>
        <v>66666.6666666667</v>
      </c>
      <c r="D7" s="20" t="n">
        <v>5</v>
      </c>
      <c r="E7" s="6" t="n">
        <f>A7*D7</f>
        <v>500000</v>
      </c>
      <c r="F7" s="11" t="n">
        <f>C7*D7</f>
        <v>333333.333333334</v>
      </c>
      <c r="G7" s="12" t="n">
        <f>D7/$B$18</f>
        <v>0.00789889415481833</v>
      </c>
      <c r="H7" s="15" t="s">
        <v>56</v>
      </c>
      <c r="I7" s="48"/>
      <c r="J7" s="13"/>
      <c r="K7" s="13" t="n">
        <f>A7/5000</f>
        <v>20</v>
      </c>
      <c r="L7" s="13" t="n">
        <f>K7*D7</f>
        <v>100</v>
      </c>
      <c r="O7" s="6" t="n">
        <v>100000</v>
      </c>
      <c r="P7" s="19" t="n">
        <v>0.4</v>
      </c>
      <c r="Q7" s="7" t="n">
        <f>O7*P7/0.6</f>
        <v>66666.6666666667</v>
      </c>
      <c r="R7" s="20" t="n">
        <v>5</v>
      </c>
      <c r="S7" s="6" t="n">
        <f>O7*R7</f>
        <v>500000</v>
      </c>
      <c r="T7" s="11" t="n">
        <f>Q7*R7</f>
        <v>333333.333333334</v>
      </c>
      <c r="U7" s="12" t="n">
        <f>R7/$P$18</f>
        <v>0.00759878419452888</v>
      </c>
      <c r="V7" s="15" t="s">
        <v>56</v>
      </c>
      <c r="W7" s="48"/>
      <c r="X7" s="13"/>
      <c r="Y7" s="13" t="n">
        <f>O7/5000</f>
        <v>20</v>
      </c>
      <c r="Z7" s="13" t="n">
        <f>Y7*R7</f>
        <v>100</v>
      </c>
    </row>
    <row r="8" ht="16.5" customHeight="1">
      <c r="A8" s="6" t="n">
        <v>100000</v>
      </c>
      <c r="B8" s="19" t="n">
        <v>0.4</v>
      </c>
      <c r="C8" s="7" t="n">
        <f>A8*B8/0.6</f>
        <v>66666.6666666667</v>
      </c>
      <c r="D8" s="20" t="n">
        <v>5</v>
      </c>
      <c r="E8" s="6" t="n">
        <f>A8*D8</f>
        <v>500000</v>
      </c>
      <c r="F8" s="11" t="n">
        <f>C8*D8</f>
        <v>333333.333333334</v>
      </c>
      <c r="G8" s="12" t="n">
        <f>D8/$B$18</f>
        <v>0.00789889415481833</v>
      </c>
      <c r="H8" s="21" t="s">
        <v>57</v>
      </c>
      <c r="I8" s="48"/>
      <c r="J8" s="13"/>
      <c r="K8" s="13" t="n">
        <f>A8/5000</f>
        <v>20</v>
      </c>
      <c r="L8" s="13" t="n">
        <f>K8*D8</f>
        <v>100</v>
      </c>
      <c r="O8" s="6" t="n">
        <v>100000</v>
      </c>
      <c r="P8" s="19" t="n">
        <v>0.4</v>
      </c>
      <c r="Q8" s="7" t="n">
        <f>O8*P8/0.6</f>
        <v>66666.6666666667</v>
      </c>
      <c r="R8" s="20" t="n">
        <v>5</v>
      </c>
      <c r="S8" s="6" t="n">
        <f>O8*R8</f>
        <v>500000</v>
      </c>
      <c r="T8" s="11" t="n">
        <f>Q8*R8</f>
        <v>333333.333333334</v>
      </c>
      <c r="U8" s="12" t="n">
        <f>R8/$P$18</f>
        <v>0.00759878419452888</v>
      </c>
      <c r="V8" s="21" t="s">
        <v>57</v>
      </c>
      <c r="W8" s="48"/>
      <c r="X8" s="13"/>
      <c r="Y8" s="13" t="n">
        <f>O8/5000</f>
        <v>20</v>
      </c>
      <c r="Z8" s="13" t="n">
        <f>Y8*R8</f>
        <v>100</v>
      </c>
    </row>
    <row r="9" ht="16.5" customHeight="1">
      <c r="A9" s="6" t="n">
        <v>208000</v>
      </c>
      <c r="B9" s="19" t="n">
        <v>0.4</v>
      </c>
      <c r="C9" s="7" t="n">
        <f>A9*B9/0.6</f>
        <v>138666.666666667</v>
      </c>
      <c r="D9" s="20" t="n">
        <v>2</v>
      </c>
      <c r="E9" s="6" t="n">
        <f>A9*D9</f>
        <v>416000</v>
      </c>
      <c r="F9" s="11" t="n">
        <f>C9*D9</f>
        <v>277333.333333334</v>
      </c>
      <c r="G9" s="12" t="n">
        <f>D9/$B$18</f>
        <v>0.00315955766192733</v>
      </c>
      <c r="H9" s="15" t="s">
        <v>116</v>
      </c>
      <c r="I9" s="48"/>
      <c r="J9" s="13"/>
      <c r="K9" s="13" t="n">
        <f>A9/5000</f>
        <v>41.6</v>
      </c>
      <c r="L9" s="13" t="n">
        <f>K9*D9</f>
        <v>83.2</v>
      </c>
      <c r="O9" s="6" t="n">
        <v>208000</v>
      </c>
      <c r="P9" s="19" t="n">
        <v>0.4</v>
      </c>
      <c r="Q9" s="7" t="n">
        <f>O9*P9/0.6</f>
        <v>138666.666666667</v>
      </c>
      <c r="R9" s="20" t="n">
        <v>2</v>
      </c>
      <c r="S9" s="6" t="n">
        <f>O9*R9</f>
        <v>416000</v>
      </c>
      <c r="T9" s="11" t="n">
        <f>Q9*R9</f>
        <v>277333.333333334</v>
      </c>
      <c r="U9" s="12" t="n">
        <f>R9/$P$18</f>
        <v>0.00303951367781155</v>
      </c>
      <c r="V9" s="15" t="s">
        <v>116</v>
      </c>
      <c r="W9" s="48"/>
      <c r="X9" s="13"/>
      <c r="Y9" s="13" t="n">
        <f>O9/5000</f>
        <v>41.6</v>
      </c>
      <c r="Z9" s="13" t="n">
        <f>Y9*R9</f>
        <v>83.2</v>
      </c>
    </row>
    <row r="10" ht="16.5" customHeight="1">
      <c r="A10" s="6" t="n">
        <v>304000</v>
      </c>
      <c r="B10" s="19" t="n">
        <v>0.4</v>
      </c>
      <c r="C10" s="7" t="n">
        <f>A10*B10/0.6</f>
        <v>202666.666666667</v>
      </c>
      <c r="D10" s="20" t="n">
        <v>2</v>
      </c>
      <c r="E10" s="6" t="n">
        <f>A10*D10</f>
        <v>608000</v>
      </c>
      <c r="F10" s="11" t="n">
        <f>C10*D10</f>
        <v>405333.333333334</v>
      </c>
      <c r="G10" s="12" t="n">
        <f>D10/$B$18</f>
        <v>0.00315955766192733</v>
      </c>
      <c r="H10" s="15" t="s">
        <v>96</v>
      </c>
      <c r="I10" s="48"/>
      <c r="J10" s="13"/>
      <c r="K10" s="13" t="n">
        <f>A10/5000</f>
        <v>60.8</v>
      </c>
      <c r="L10" s="13" t="n">
        <f>K10*D10</f>
        <v>121.6</v>
      </c>
      <c r="O10" s="6" t="n">
        <v>304000</v>
      </c>
      <c r="P10" s="19" t="n">
        <v>0.4</v>
      </c>
      <c r="Q10" s="7" t="n">
        <f>O10*P10/0.6</f>
        <v>202666.666666667</v>
      </c>
      <c r="R10" s="20" t="n">
        <v>2</v>
      </c>
      <c r="S10" s="6" t="n">
        <f>O10*R10</f>
        <v>608000</v>
      </c>
      <c r="T10" s="11" t="n">
        <f>Q10*R10</f>
        <v>405333.333333334</v>
      </c>
      <c r="U10" s="12" t="n">
        <f>R10/$P$18</f>
        <v>0.00303951367781155</v>
      </c>
      <c r="V10" s="15" t="s">
        <v>96</v>
      </c>
      <c r="W10" s="48"/>
      <c r="X10" s="13"/>
      <c r="Y10" s="13" t="n">
        <f>O10/5000</f>
        <v>60.8</v>
      </c>
      <c r="Z10" s="13" t="n">
        <f>Y10*R10</f>
        <v>121.6</v>
      </c>
    </row>
    <row r="11" ht="16.5" customHeight="1">
      <c r="A11" s="6" t="n">
        <v>400000</v>
      </c>
      <c r="B11" s="19" t="n">
        <v>0.4</v>
      </c>
      <c r="C11" s="7" t="n">
        <f>A11*B11/0.6</f>
        <v>266666.666666667</v>
      </c>
      <c r="D11" s="20" t="n">
        <v>2</v>
      </c>
      <c r="E11" s="6" t="n">
        <f>A11*D11</f>
        <v>800000</v>
      </c>
      <c r="F11" s="11" t="n">
        <f>C11*D11</f>
        <v>533333.333333334</v>
      </c>
      <c r="G11" s="12" t="n">
        <f>D11/$B$18</f>
        <v>0.00315955766192733</v>
      </c>
      <c r="H11" s="15" t="s">
        <v>79</v>
      </c>
      <c r="I11" s="48"/>
      <c r="J11" s="13"/>
      <c r="K11" s="13" t="n">
        <f>A11/5000</f>
        <v>80</v>
      </c>
      <c r="L11" s="13" t="n">
        <f>K11*D11</f>
        <v>160</v>
      </c>
      <c r="O11" s="6" t="n">
        <v>400000</v>
      </c>
      <c r="P11" s="19" t="n">
        <v>0.4</v>
      </c>
      <c r="Q11" s="7" t="n">
        <f>O11*P11/0.6</f>
        <v>266666.666666667</v>
      </c>
      <c r="R11" s="20" t="n">
        <v>2</v>
      </c>
      <c r="S11" s="6" t="n">
        <f>O11*R11</f>
        <v>800000</v>
      </c>
      <c r="T11" s="11" t="n">
        <f>Q11*R11</f>
        <v>533333.333333334</v>
      </c>
      <c r="U11" s="12" t="n">
        <f>R11/$P$18</f>
        <v>0.00303951367781155</v>
      </c>
      <c r="V11" s="15" t="s">
        <v>79</v>
      </c>
      <c r="W11" s="48"/>
      <c r="X11" s="13"/>
      <c r="Y11" s="13" t="n">
        <f>O11/5000</f>
        <v>80</v>
      </c>
      <c r="Z11" s="13" t="n">
        <f>Y11*R11</f>
        <v>160</v>
      </c>
    </row>
    <row r="12" ht="16.5" customHeight="1">
      <c r="A12" s="6" t="n">
        <v>520000</v>
      </c>
      <c r="B12" s="19" t="n">
        <v>0.4</v>
      </c>
      <c r="C12" s="7" t="n">
        <f>A12*B12/0.6</f>
        <v>346666.666666667</v>
      </c>
      <c r="D12" s="20" t="n">
        <v>2</v>
      </c>
      <c r="E12" s="6" t="n">
        <f>A12*D12</f>
        <v>1040000</v>
      </c>
      <c r="F12" s="11" t="n">
        <f>C12*D12</f>
        <v>693333.333333334</v>
      </c>
      <c r="G12" s="12" t="n">
        <f>D12/$B$18</f>
        <v>0.00315955766192733</v>
      </c>
      <c r="H12" s="15" t="s">
        <v>88</v>
      </c>
      <c r="I12" s="48"/>
      <c r="J12" s="13"/>
      <c r="K12" s="13" t="n">
        <f>A12/5000</f>
        <v>104</v>
      </c>
      <c r="L12" s="13" t="n">
        <f>K12*D12</f>
        <v>208</v>
      </c>
      <c r="O12" s="6" t="n">
        <v>520000</v>
      </c>
      <c r="P12" s="19" t="n">
        <v>0.4</v>
      </c>
      <c r="Q12" s="7" t="n">
        <f>O12*P12/0.6</f>
        <v>346666.666666667</v>
      </c>
      <c r="R12" s="20" t="n">
        <v>2</v>
      </c>
      <c r="S12" s="6" t="n">
        <f>O12*R12</f>
        <v>1040000</v>
      </c>
      <c r="T12" s="11" t="n">
        <f>Q12*R12</f>
        <v>693333.333333334</v>
      </c>
      <c r="U12" s="12" t="n">
        <f>R12/$P$18</f>
        <v>0.00303951367781155</v>
      </c>
      <c r="V12" s="15" t="s">
        <v>88</v>
      </c>
      <c r="W12" s="48"/>
      <c r="X12" s="13"/>
      <c r="Y12" s="13" t="n">
        <f>O12/5000</f>
        <v>104</v>
      </c>
      <c r="Z12" s="13" t="n">
        <f>Y12*R12</f>
        <v>208</v>
      </c>
    </row>
    <row r="13" ht="16.5" customHeight="1">
      <c r="A13" s="6"/>
      <c r="B13" s="19" t="n">
        <v>0.4</v>
      </c>
      <c r="C13" s="7" t="n">
        <f>A13*B13/0.6</f>
        <v>0</v>
      </c>
      <c r="D13" s="20" t="n">
        <v>0</v>
      </c>
      <c r="E13" s="6" t="n">
        <f>A13*D13</f>
        <v>0</v>
      </c>
      <c r="F13" s="11" t="n">
        <f>C13*D13</f>
        <v>0</v>
      </c>
      <c r="G13" s="12" t="n">
        <f>D13/$B$18</f>
        <v>0</v>
      </c>
      <c r="H13" s="15"/>
      <c r="I13" s="35"/>
      <c r="J13" s="13"/>
      <c r="K13" s="13" t="n">
        <f>A13/5000</f>
        <v>0</v>
      </c>
      <c r="L13" s="13" t="n">
        <f>K13*D13</f>
        <v>0</v>
      </c>
      <c r="O13" s="6"/>
      <c r="P13" s="19" t="n">
        <v>0.4</v>
      </c>
      <c r="Q13" s="7" t="n">
        <f>O13*P13/0.6</f>
        <v>0</v>
      </c>
      <c r="R13" s="20" t="n">
        <v>0</v>
      </c>
      <c r="S13" s="6" t="n">
        <f>O13*R13</f>
        <v>0</v>
      </c>
      <c r="T13" s="11" t="n">
        <f>Q13*R13</f>
        <v>0</v>
      </c>
      <c r="U13" s="12" t="n">
        <f>R13/$P$18</f>
        <v>0</v>
      </c>
      <c r="V13" s="15"/>
      <c r="W13" s="35"/>
      <c r="X13" s="13"/>
      <c r="Y13" s="13" t="n">
        <f>O13/5000</f>
        <v>0</v>
      </c>
      <c r="Z13" s="13" t="n">
        <f>Y13*R13</f>
        <v>0</v>
      </c>
    </row>
    <row r="14" ht="16.5" customHeight="1">
      <c r="A14" s="6"/>
      <c r="B14" s="19" t="n">
        <v>0.4</v>
      </c>
      <c r="C14" s="7" t="n">
        <f>A14*B14/0.6</f>
        <v>0</v>
      </c>
      <c r="D14" s="20" t="n">
        <v>0</v>
      </c>
      <c r="E14" s="6" t="n">
        <f>A14*D14</f>
        <v>0</v>
      </c>
      <c r="F14" s="11" t="n">
        <f>C14*D14</f>
        <v>0</v>
      </c>
      <c r="G14" s="12" t="n">
        <f>D14/$B$18</f>
        <v>0</v>
      </c>
      <c r="H14" s="15"/>
      <c r="I14" s="48"/>
      <c r="J14" s="13"/>
      <c r="K14" s="13" t="n">
        <f>A14/5000</f>
        <v>0</v>
      </c>
      <c r="L14" s="13" t="n">
        <f>K14*D14</f>
        <v>0</v>
      </c>
      <c r="O14" s="6"/>
      <c r="P14" s="19" t="n">
        <v>0.4</v>
      </c>
      <c r="Q14" s="7" t="n">
        <f>O14*P14/0.6</f>
        <v>0</v>
      </c>
      <c r="R14" s="20" t="n">
        <v>0</v>
      </c>
      <c r="S14" s="6" t="n">
        <f>O14*R14</f>
        <v>0</v>
      </c>
      <c r="T14" s="11" t="n">
        <f>Q14*R14</f>
        <v>0</v>
      </c>
      <c r="U14" s="12" t="n">
        <f>R14/$P$18</f>
        <v>0</v>
      </c>
      <c r="V14" s="15"/>
      <c r="W14" s="48"/>
      <c r="X14" s="13"/>
      <c r="Y14" s="13" t="n">
        <f>O14/5000</f>
        <v>0</v>
      </c>
      <c r="Z14" s="13" t="n">
        <f>Y14*R14</f>
        <v>0</v>
      </c>
    </row>
    <row r="15" ht="16.5" customHeight="1">
      <c r="A15" s="6"/>
      <c r="B15" s="19" t="n">
        <v>0.4</v>
      </c>
      <c r="C15" s="7" t="n">
        <f>A15*B15/0.6</f>
        <v>0</v>
      </c>
      <c r="D15" s="20" t="n">
        <v>0</v>
      </c>
      <c r="E15" s="6" t="n">
        <f>A15*D15</f>
        <v>0</v>
      </c>
      <c r="F15" s="11" t="n">
        <f>C15*D15</f>
        <v>0</v>
      </c>
      <c r="G15" s="12" t="n">
        <f>D15/$B$18</f>
        <v>0</v>
      </c>
      <c r="H15" s="15"/>
      <c r="I15" s="35"/>
      <c r="J15" s="13"/>
      <c r="K15" s="13" t="n">
        <f>A15/5000</f>
        <v>0</v>
      </c>
      <c r="L15" s="13" t="n">
        <f>K15*D15</f>
        <v>0</v>
      </c>
      <c r="O15" s="6"/>
      <c r="P15" s="19" t="n">
        <v>0.4</v>
      </c>
      <c r="Q15" s="7" t="n">
        <f>O15*P15/0.6</f>
        <v>0</v>
      </c>
      <c r="R15" s="20" t="n">
        <v>0</v>
      </c>
      <c r="S15" s="6" t="n">
        <f>O15*R15</f>
        <v>0</v>
      </c>
      <c r="T15" s="11" t="n">
        <f>Q15*R15</f>
        <v>0</v>
      </c>
      <c r="U15" s="12" t="n">
        <f>R15/$P$18</f>
        <v>0</v>
      </c>
      <c r="V15" s="15"/>
      <c r="W15" s="35"/>
      <c r="X15" s="13"/>
      <c r="Y15" s="13" t="n">
        <f>O15/5000</f>
        <v>0</v>
      </c>
      <c r="Z15" s="13" t="n">
        <f>Y15*R15</f>
        <v>0</v>
      </c>
    </row>
    <row r="16" ht="16.5" customHeight="1">
      <c r="A16" s="6"/>
      <c r="B16" s="19" t="n">
        <v>0.4</v>
      </c>
      <c r="C16" s="7" t="n">
        <f>A16*B16/0.6</f>
        <v>0</v>
      </c>
      <c r="D16" s="20" t="n">
        <v>0</v>
      </c>
      <c r="E16" s="6" t="n">
        <f>A16*D16</f>
        <v>0</v>
      </c>
      <c r="F16" s="11" t="n">
        <f>C16*D16</f>
        <v>0</v>
      </c>
      <c r="G16" s="12" t="n">
        <f>D16/$B$18</f>
        <v>0</v>
      </c>
      <c r="H16" s="15"/>
      <c r="I16" s="48"/>
      <c r="J16" s="13"/>
      <c r="K16" s="13" t="n">
        <f>A16/5000</f>
        <v>0</v>
      </c>
      <c r="L16" s="13" t="n">
        <f>K16*D16</f>
        <v>0</v>
      </c>
      <c r="O16" s="6"/>
      <c r="P16" s="19" t="n">
        <v>0.4</v>
      </c>
      <c r="Q16" s="7" t="n">
        <f>O16*P16/0.6</f>
        <v>0</v>
      </c>
      <c r="R16" s="20" t="n">
        <v>0</v>
      </c>
      <c r="S16" s="6" t="n">
        <f>O16*R16</f>
        <v>0</v>
      </c>
      <c r="T16" s="11" t="n">
        <f>Q16*R16</f>
        <v>0</v>
      </c>
      <c r="U16" s="12" t="n">
        <f>R16/$P$18</f>
        <v>0</v>
      </c>
      <c r="V16" s="15"/>
      <c r="W16" s="48"/>
      <c r="X16" s="13"/>
      <c r="Y16" s="13" t="n">
        <f>O16/5000</f>
        <v>0</v>
      </c>
      <c r="Z16" s="13" t="n">
        <f>Y16*R16</f>
        <v>0</v>
      </c>
    </row>
    <row r="17" ht="16.5" customHeight="1">
      <c r="A17" s="17"/>
      <c r="B17" s="17"/>
      <c r="C17" s="17"/>
      <c r="D17" s="17"/>
      <c r="E17" s="17"/>
      <c r="F17" s="17"/>
      <c r="G17" s="17"/>
      <c r="H17" s="17"/>
      <c r="O17" s="17"/>
      <c r="P17" s="17"/>
      <c r="Q17" s="17"/>
      <c r="R17" s="17"/>
      <c r="S17" s="17"/>
      <c r="T17" s="17"/>
      <c r="U17" s="17"/>
      <c r="V17" s="17"/>
    </row>
    <row r="18" ht="16.5" customHeight="1">
      <c r="A18" s="22" t="s">
        <v>21</v>
      </c>
      <c r="B18" s="23" t="n">
        <f>SUM(D4:D16)</f>
        <v>633</v>
      </c>
      <c r="C18" s="24" t="s">
        <v>22</v>
      </c>
      <c r="D18" s="10"/>
      <c r="E18" s="31" t="n">
        <f>SUM(E4:E16)</f>
        <v>7909000</v>
      </c>
      <c r="F18" s="39" t="s">
        <v>23</v>
      </c>
      <c r="G18" s="40"/>
      <c r="H18" s="41" t="n">
        <f>E18/E20</f>
        <v>1.24944707740916</v>
      </c>
      <c r="O18" s="22" t="s">
        <v>21</v>
      </c>
      <c r="P18" s="23" t="n">
        <f>SUM(R4:R16)</f>
        <v>658</v>
      </c>
      <c r="Q18" s="24" t="s">
        <v>22</v>
      </c>
      <c r="R18" s="10"/>
      <c r="S18" s="31" t="n">
        <f>SUM(S4:S16)</f>
        <v>7934000</v>
      </c>
      <c r="T18" s="39" t="s">
        <v>23</v>
      </c>
      <c r="U18" s="40"/>
      <c r="V18" s="41" t="n">
        <f>S18/S20</f>
        <v>1.20577507598784</v>
      </c>
    </row>
    <row r="19" ht="16.5" customHeight="1">
      <c r="A19" s="22" t="s">
        <v>24</v>
      </c>
      <c r="B19" s="22" t="n">
        <v>10000</v>
      </c>
      <c r="C19" s="24" t="s">
        <v>25</v>
      </c>
      <c r="D19" s="10"/>
      <c r="E19" s="31" t="n">
        <f>SUM(F4:F16)</f>
        <v>5272666.66666667</v>
      </c>
      <c r="F19" s="39" t="s">
        <v>26</v>
      </c>
      <c r="G19" s="40"/>
      <c r="H19" s="41" t="n">
        <f>E19/E20</f>
        <v>0.832964718272776</v>
      </c>
      <c r="O19" s="22" t="s">
        <v>24</v>
      </c>
      <c r="P19" s="22" t="n">
        <v>10000</v>
      </c>
      <c r="Q19" s="24" t="s">
        <v>25</v>
      </c>
      <c r="R19" s="10"/>
      <c r="S19" s="31" t="n">
        <f>SUM(T4:T16)</f>
        <v>5289333.33333333</v>
      </c>
      <c r="T19" s="39" t="s">
        <v>26</v>
      </c>
      <c r="U19" s="40"/>
      <c r="V19" s="41" t="n">
        <f>S19/S20</f>
        <v>0.803850050658561</v>
      </c>
    </row>
    <row r="20" ht="16.5" customHeight="1">
      <c r="A20" s="15"/>
      <c r="B20" s="15"/>
      <c r="C20" s="24" t="s">
        <v>27</v>
      </c>
      <c r="D20" s="10"/>
      <c r="E20" s="8" t="n">
        <f>B18*B19</f>
        <v>6330000</v>
      </c>
      <c r="F20" s="39" t="s">
        <v>28</v>
      </c>
      <c r="G20" s="40"/>
      <c r="H20" s="41" t="n">
        <f>E20/E19</f>
        <v>1.20053104058667</v>
      </c>
      <c r="O20" s="15"/>
      <c r="P20" s="15"/>
      <c r="Q20" s="24" t="s">
        <v>27</v>
      </c>
      <c r="R20" s="10"/>
      <c r="S20" s="8" t="n">
        <f>P18*P19</f>
        <v>6580000</v>
      </c>
      <c r="T20" s="39" t="s">
        <v>28</v>
      </c>
      <c r="U20" s="40"/>
      <c r="V20" s="41" t="n">
        <f>S20/S19</f>
        <v>1.24401310814217</v>
      </c>
    </row>
    <row r="21" ht="16.5" customHeight="1">
      <c r="A21" s="9" t="s">
        <v>51</v>
      </c>
      <c r="B21" s="34" t="s">
        <v>117</v>
      </c>
      <c r="H21" s="5" t="n">
        <f>100*B19*(1.45-H18)</f>
        <v>200552.92259084</v>
      </c>
      <c r="O21" s="9" t="s">
        <v>51</v>
      </c>
      <c r="P21" s="34" t="s">
        <v>117</v>
      </c>
      <c r="V21" s="5" t="n">
        <f>100*P19*(1.45-V18)</f>
        <v>244224.92401216</v>
      </c>
    </row>
    <row r="22" ht="16.5" customHeight="1">
      <c r="A22" s="9" t="s">
        <v>74</v>
      </c>
      <c r="B22" s="34" t="s">
        <v>90</v>
      </c>
      <c r="O22" s="9" t="s">
        <v>74</v>
      </c>
      <c r="P22" s="34" t="s">
        <v>90</v>
      </c>
    </row>
    <row r="23" ht="16.5" customHeight="1">
      <c r="A23" s="9" t="s">
        <v>77</v>
      </c>
      <c r="B23" s="34" t="s">
        <v>90</v>
      </c>
    </row>
    <row r="26" ht="16.5" customHeight="1">
      <c r="A26" s="30" t="s">
        <v>118</v>
      </c>
      <c r="B26" s="27"/>
      <c r="C26" s="27"/>
      <c r="D26" s="27"/>
      <c r="E26" s="27"/>
      <c r="F26" s="27"/>
      <c r="G26" s="27"/>
      <c r="H26" s="28"/>
      <c r="O26" s="30" t="s">
        <v>118</v>
      </c>
      <c r="P26" s="27"/>
      <c r="Q26" s="27"/>
      <c r="R26" s="27"/>
      <c r="S26" s="27"/>
      <c r="T26" s="27"/>
      <c r="U26" s="27"/>
      <c r="V26" s="28"/>
    </row>
    <row r="27" ht="16.5" customHeight="1">
      <c r="A27" s="15" t="s">
        <v>49</v>
      </c>
      <c r="B27" s="10"/>
      <c r="C27" s="10"/>
      <c r="D27" s="10"/>
      <c r="E27" s="10"/>
      <c r="F27" s="10"/>
      <c r="G27" s="10"/>
      <c r="H27" s="10"/>
      <c r="O27" s="15" t="s">
        <v>49</v>
      </c>
      <c r="P27" s="10"/>
      <c r="Q27" s="10"/>
      <c r="R27" s="10"/>
      <c r="S27" s="10"/>
      <c r="T27" s="10"/>
      <c r="U27" s="10"/>
      <c r="V27" s="10"/>
    </row>
    <row r="28" ht="16.5" customHeight="1">
      <c r="A28" s="17" t="s">
        <v>2</v>
      </c>
      <c r="B28" s="15" t="s">
        <v>3</v>
      </c>
      <c r="C28" s="18" t="s">
        <v>4</v>
      </c>
      <c r="D28" s="20" t="s">
        <v>5</v>
      </c>
      <c r="E28" s="17" t="s">
        <v>6</v>
      </c>
      <c r="F28" s="15" t="s">
        <v>7</v>
      </c>
      <c r="G28" s="15" t="s">
        <v>8</v>
      </c>
      <c r="H28" s="17" t="s">
        <v>9</v>
      </c>
      <c r="I28" s="9" t="s">
        <v>10</v>
      </c>
      <c r="J28" s="9" t="s">
        <v>11</v>
      </c>
      <c r="K28" s="9" t="s">
        <v>12</v>
      </c>
      <c r="O28" s="17" t="s">
        <v>2</v>
      </c>
      <c r="P28" s="15" t="s">
        <v>3</v>
      </c>
      <c r="Q28" s="18" t="s">
        <v>4</v>
      </c>
      <c r="R28" s="20" t="s">
        <v>5</v>
      </c>
      <c r="S28" s="17" t="s">
        <v>6</v>
      </c>
      <c r="T28" s="15" t="s">
        <v>7</v>
      </c>
      <c r="U28" s="15" t="s">
        <v>8</v>
      </c>
      <c r="V28" s="17" t="s">
        <v>9</v>
      </c>
      <c r="W28" s="9" t="s">
        <v>10</v>
      </c>
      <c r="X28" s="9" t="s">
        <v>11</v>
      </c>
      <c r="Y28" s="9" t="s">
        <v>12</v>
      </c>
    </row>
    <row r="29" ht="16.5" customHeight="1">
      <c r="A29" s="6" t="n">
        <v>1000</v>
      </c>
      <c r="B29" s="19" t="n">
        <v>0.4</v>
      </c>
      <c r="C29" s="7" t="n">
        <f>A29*B29/0.6</f>
        <v>666.666666666667</v>
      </c>
      <c r="D29" s="20" t="n">
        <f>5*260</f>
        <v>1300</v>
      </c>
      <c r="E29" s="6" t="n">
        <f>A29*D29</f>
        <v>1300000</v>
      </c>
      <c r="F29" s="11" t="n">
        <f>C29*D29</f>
        <v>866666.666666667</v>
      </c>
      <c r="G29" s="12" t="n">
        <f>D29/$B$39</f>
        <v>0.547368421052632</v>
      </c>
      <c r="H29" s="15" t="s">
        <v>119</v>
      </c>
      <c r="I29" s="5"/>
      <c r="J29" s="13"/>
      <c r="K29" s="13" t="n">
        <v>4</v>
      </c>
      <c r="L29" s="13" t="n">
        <f>K29*D29</f>
        <v>5200</v>
      </c>
      <c r="O29" s="6" t="n">
        <v>1000</v>
      </c>
      <c r="P29" s="19" t="n">
        <v>0.4</v>
      </c>
      <c r="Q29" s="7" t="n">
        <f>O29*P29/0.6</f>
        <v>666.666666666667</v>
      </c>
      <c r="R29" s="20" t="n">
        <v>1500</v>
      </c>
      <c r="S29" s="6" t="n">
        <f>O29*R29</f>
        <v>1500000</v>
      </c>
      <c r="T29" s="11" t="n">
        <f>Q29*R29</f>
        <v>1000000</v>
      </c>
      <c r="U29" s="12" t="n">
        <f>R29/$P$39</f>
        <v>0.58252427184466</v>
      </c>
      <c r="V29" s="15" t="s">
        <v>119</v>
      </c>
      <c r="W29" s="5"/>
      <c r="X29" s="13"/>
      <c r="Y29" s="13" t="n">
        <v>4</v>
      </c>
      <c r="Z29" s="13" t="n">
        <f>Y29*R29</f>
        <v>6000</v>
      </c>
    </row>
    <row r="30" ht="16.5" customHeight="1">
      <c r="A30" s="6" t="n">
        <v>20000</v>
      </c>
      <c r="B30" s="19" t="n">
        <v>0.4</v>
      </c>
      <c r="C30" s="7" t="n">
        <f>A30*B30/0.6</f>
        <v>13333.3333333333</v>
      </c>
      <c r="D30" s="20" t="n">
        <f>5*178</f>
        <v>890</v>
      </c>
      <c r="E30" s="6" t="n">
        <f>A30*D30</f>
        <v>17800000</v>
      </c>
      <c r="F30" s="11" t="n">
        <f>C30*D30</f>
        <v>11866666.6666666</v>
      </c>
      <c r="G30" s="12" t="n">
        <f>D30/$B$39</f>
        <v>0.374736842105263</v>
      </c>
      <c r="H30" s="15" t="s">
        <v>120</v>
      </c>
      <c r="I30" s="35"/>
      <c r="J30" s="13"/>
      <c r="K30" s="13" t="n">
        <f>A30/5000</f>
        <v>4</v>
      </c>
      <c r="L30" s="13" t="n">
        <f>K30*D30</f>
        <v>3560</v>
      </c>
      <c r="O30" s="6" t="n">
        <v>20000</v>
      </c>
      <c r="P30" s="19" t="n">
        <v>0.4</v>
      </c>
      <c r="Q30" s="7" t="n">
        <f>O30*P30/0.6</f>
        <v>13333.3333333333</v>
      </c>
      <c r="R30" s="20" t="n">
        <f>5*178</f>
        <v>890</v>
      </c>
      <c r="S30" s="6" t="n">
        <f>O30*R30</f>
        <v>17800000</v>
      </c>
      <c r="T30" s="11" t="n">
        <f>Q30*R30</f>
        <v>11866666.6666666</v>
      </c>
      <c r="U30" s="12" t="n">
        <f>R30/$P$39</f>
        <v>0.345631067961165</v>
      </c>
      <c r="V30" s="15" t="s">
        <v>120</v>
      </c>
      <c r="W30" s="35"/>
      <c r="X30" s="13"/>
      <c r="Y30" s="13" t="n">
        <f>O30/5000</f>
        <v>4</v>
      </c>
      <c r="Z30" s="13" t="n">
        <f>Y30*R30</f>
        <v>3560</v>
      </c>
    </row>
    <row r="31" ht="16.5" customHeight="1">
      <c r="A31" s="6" t="n">
        <v>52000</v>
      </c>
      <c r="B31" s="19" t="n">
        <v>0.4</v>
      </c>
      <c r="C31" s="7" t="n">
        <f>A31*B31/0.6</f>
        <v>34666.6666666667</v>
      </c>
      <c r="D31" s="20" t="n">
        <f>5*30</f>
        <v>150</v>
      </c>
      <c r="E31" s="6" t="n">
        <f>A31*D31</f>
        <v>7800000</v>
      </c>
      <c r="F31" s="11" t="n">
        <f>C31*D31</f>
        <v>5200000.00000001</v>
      </c>
      <c r="G31" s="12" t="n">
        <f>D31/$B$39</f>
        <v>0.0631578947368421</v>
      </c>
      <c r="H31" s="15" t="s">
        <v>121</v>
      </c>
      <c r="I31" s="35"/>
      <c r="J31" s="13"/>
      <c r="K31" s="13" t="n">
        <f>A31/5000</f>
        <v>10.4</v>
      </c>
      <c r="L31" s="13" t="n">
        <f>K31*D31</f>
        <v>1560</v>
      </c>
      <c r="O31" s="6" t="n">
        <v>52000</v>
      </c>
      <c r="P31" s="19" t="n">
        <v>0.4</v>
      </c>
      <c r="Q31" s="7" t="n">
        <f>O31*P31/0.6</f>
        <v>34666.6666666667</v>
      </c>
      <c r="R31" s="20" t="n">
        <f>5*30</f>
        <v>150</v>
      </c>
      <c r="S31" s="6" t="n">
        <f>O31*R31</f>
        <v>7800000</v>
      </c>
      <c r="T31" s="11" t="n">
        <f>Q31*R31</f>
        <v>5200000.00000001</v>
      </c>
      <c r="U31" s="12" t="n">
        <f>R31/$P$39</f>
        <v>0.058252427184466</v>
      </c>
      <c r="V31" s="15" t="s">
        <v>121</v>
      </c>
      <c r="W31" s="35"/>
      <c r="X31" s="13"/>
      <c r="Y31" s="13" t="n">
        <f>O31/5000</f>
        <v>10.4</v>
      </c>
      <c r="Z31" s="13" t="n">
        <f>Y31*R31</f>
        <v>1560</v>
      </c>
    </row>
    <row r="32" ht="16.5" customHeight="1">
      <c r="A32" s="6" t="n">
        <v>100000</v>
      </c>
      <c r="B32" s="19" t="n">
        <v>0.4</v>
      </c>
      <c r="C32" s="7" t="n">
        <f>A32*B32/0.6</f>
        <v>66666.6666666667</v>
      </c>
      <c r="D32" s="20" t="n">
        <f>5*5</f>
        <v>25</v>
      </c>
      <c r="E32" s="6" t="n">
        <f>A32*D32</f>
        <v>2500000</v>
      </c>
      <c r="F32" s="11" t="n">
        <f>C32*D32</f>
        <v>1666666.66666667</v>
      </c>
      <c r="G32" s="12" t="n">
        <f>D32/$B$39</f>
        <v>0.0105263157894737</v>
      </c>
      <c r="H32" s="15" t="s">
        <v>122</v>
      </c>
      <c r="I32" s="48"/>
      <c r="J32" s="13"/>
      <c r="K32" s="13" t="n">
        <f>A32/5000</f>
        <v>20</v>
      </c>
      <c r="L32" s="13" t="n">
        <f>K32*D32</f>
        <v>500</v>
      </c>
      <c r="O32" s="6" t="n">
        <v>100000</v>
      </c>
      <c r="P32" s="19" t="n">
        <v>0.4</v>
      </c>
      <c r="Q32" s="7" t="n">
        <f>O32*P32/0.6</f>
        <v>66666.6666666667</v>
      </c>
      <c r="R32" s="20" t="n">
        <f>5*5</f>
        <v>25</v>
      </c>
      <c r="S32" s="6" t="n">
        <f>O32*R32</f>
        <v>2500000</v>
      </c>
      <c r="T32" s="11" t="n">
        <f>Q32*R32</f>
        <v>1666666.66666667</v>
      </c>
      <c r="U32" s="12" t="n">
        <f>R32/$P$39</f>
        <v>0.00970873786407767</v>
      </c>
      <c r="V32" s="15" t="s">
        <v>122</v>
      </c>
      <c r="W32" s="48"/>
      <c r="X32" s="13"/>
      <c r="Y32" s="13" t="n">
        <f>O32/5000</f>
        <v>20</v>
      </c>
      <c r="Z32" s="13" t="n">
        <f>Y32*R32</f>
        <v>500</v>
      </c>
    </row>
    <row r="33" ht="16.5" customHeight="1">
      <c r="A33" s="6" t="n">
        <v>500000</v>
      </c>
      <c r="B33" s="19" t="n">
        <v>0.4</v>
      </c>
      <c r="C33" s="7" t="n">
        <f>A33*B33/0.6</f>
        <v>333333.333333333</v>
      </c>
      <c r="D33" s="20" t="n">
        <f>5*2</f>
        <v>10</v>
      </c>
      <c r="E33" s="6" t="n">
        <f>A33*D33</f>
        <v>5000000</v>
      </c>
      <c r="F33" s="11" t="n">
        <f>C33*D33</f>
        <v>3333333.33333333</v>
      </c>
      <c r="G33" s="12" t="n">
        <f>D33/$B$39</f>
        <v>0.00421052631578947</v>
      </c>
      <c r="H33" s="15" t="s">
        <v>123</v>
      </c>
      <c r="I33" s="48"/>
      <c r="J33" s="13"/>
      <c r="K33" s="13" t="n">
        <f>A33/5000</f>
        <v>100</v>
      </c>
      <c r="L33" s="13" t="n">
        <f>K33*D33</f>
        <v>1000</v>
      </c>
      <c r="O33" s="6" t="n">
        <v>500000</v>
      </c>
      <c r="P33" s="19" t="n">
        <v>0.4</v>
      </c>
      <c r="Q33" s="7" t="n">
        <f>O33*P33/0.6</f>
        <v>333333.333333333</v>
      </c>
      <c r="R33" s="20" t="n">
        <f>5*2</f>
        <v>10</v>
      </c>
      <c r="S33" s="6" t="n">
        <f>O33*R33</f>
        <v>5000000</v>
      </c>
      <c r="T33" s="11" t="n">
        <f>Q33*R33</f>
        <v>3333333.33333333</v>
      </c>
      <c r="U33" s="12" t="n">
        <f>R33/$P$39</f>
        <v>0.00388349514563107</v>
      </c>
      <c r="V33" s="15" t="s">
        <v>123</v>
      </c>
      <c r="W33" s="48"/>
      <c r="X33" s="13"/>
      <c r="Y33" s="13" t="n">
        <f>O33/5000</f>
        <v>100</v>
      </c>
      <c r="Z33" s="13" t="n">
        <f>Y33*R33</f>
        <v>1000</v>
      </c>
    </row>
    <row r="34" ht="16.5" customHeight="1">
      <c r="A34" s="6"/>
      <c r="B34" s="19" t="n">
        <v>0.4</v>
      </c>
      <c r="C34" s="7" t="n">
        <f>A34*B34/0.6</f>
        <v>0</v>
      </c>
      <c r="D34" s="20" t="n">
        <v>0</v>
      </c>
      <c r="E34" s="6" t="n">
        <f>A34*D34</f>
        <v>0</v>
      </c>
      <c r="F34" s="11" t="n">
        <f>C34*D34</f>
        <v>0</v>
      </c>
      <c r="G34" s="12" t="n">
        <f>D34/$B$39</f>
        <v>0</v>
      </c>
      <c r="H34" s="15"/>
      <c r="I34" s="35"/>
      <c r="J34" s="13"/>
      <c r="K34" s="13" t="n">
        <f>A34/5000</f>
        <v>0</v>
      </c>
      <c r="L34" s="13" t="n">
        <f>K34*D34</f>
        <v>0</v>
      </c>
      <c r="O34" s="6"/>
      <c r="P34" s="19" t="n">
        <v>0.4</v>
      </c>
      <c r="Q34" s="7" t="n">
        <f>O34*P34/0.6</f>
        <v>0</v>
      </c>
      <c r="R34" s="20" t="n">
        <v>0</v>
      </c>
      <c r="S34" s="6" t="n">
        <f>O34*R34</f>
        <v>0</v>
      </c>
      <c r="T34" s="11" t="n">
        <f>Q34*R34</f>
        <v>0</v>
      </c>
      <c r="U34" s="12" t="n">
        <f>R34/$P$39</f>
        <v>0</v>
      </c>
      <c r="V34" s="15"/>
      <c r="W34" s="35"/>
      <c r="X34" s="13"/>
      <c r="Y34" s="13" t="n">
        <f>O34/5000</f>
        <v>0</v>
      </c>
      <c r="Z34" s="13" t="n">
        <f>Y34*R34</f>
        <v>0</v>
      </c>
    </row>
    <row r="35" ht="16.5" customHeight="1">
      <c r="A35" s="6"/>
      <c r="B35" s="19" t="n">
        <v>0.4</v>
      </c>
      <c r="C35" s="7" t="n">
        <f>A35*B35/0.6</f>
        <v>0</v>
      </c>
      <c r="D35" s="20" t="n">
        <v>0</v>
      </c>
      <c r="E35" s="6" t="n">
        <f>A35*D35</f>
        <v>0</v>
      </c>
      <c r="F35" s="11" t="n">
        <f>C35*D35</f>
        <v>0</v>
      </c>
      <c r="G35" s="12" t="n">
        <f>D35/$B$39</f>
        <v>0</v>
      </c>
      <c r="H35" s="15"/>
      <c r="I35" s="48"/>
      <c r="J35" s="13"/>
      <c r="K35" s="13" t="n">
        <f>A35/5000</f>
        <v>0</v>
      </c>
      <c r="L35" s="13" t="n">
        <f>K35*D35</f>
        <v>0</v>
      </c>
      <c r="O35" s="6"/>
      <c r="P35" s="19" t="n">
        <v>0.4</v>
      </c>
      <c r="Q35" s="7" t="n">
        <f>O35*P35/0.6</f>
        <v>0</v>
      </c>
      <c r="R35" s="20" t="n">
        <v>0</v>
      </c>
      <c r="S35" s="6" t="n">
        <f>O35*R35</f>
        <v>0</v>
      </c>
      <c r="T35" s="11" t="n">
        <f>Q35*R35</f>
        <v>0</v>
      </c>
      <c r="U35" s="12" t="n">
        <f>R35/$P$39</f>
        <v>0</v>
      </c>
      <c r="V35" s="15"/>
      <c r="W35" s="48"/>
      <c r="X35" s="13"/>
      <c r="Y35" s="13" t="n">
        <f>O35/5000</f>
        <v>0</v>
      </c>
      <c r="Z35" s="13" t="n">
        <f>Y35*R35</f>
        <v>0</v>
      </c>
    </row>
    <row r="36" ht="16.5" customHeight="1">
      <c r="A36" s="6"/>
      <c r="B36" s="19" t="n">
        <v>0.4</v>
      </c>
      <c r="C36" s="7" t="n">
        <f>A36*B36/0.6</f>
        <v>0</v>
      </c>
      <c r="D36" s="20" t="n">
        <v>0</v>
      </c>
      <c r="E36" s="6" t="n">
        <f>A36*D36</f>
        <v>0</v>
      </c>
      <c r="F36" s="11" t="n">
        <f>C36*D36</f>
        <v>0</v>
      </c>
      <c r="G36" s="12" t="n">
        <f>D36/$B$39</f>
        <v>0</v>
      </c>
      <c r="H36" s="15"/>
      <c r="I36" s="35"/>
      <c r="J36" s="13"/>
      <c r="K36" s="13" t="n">
        <f>A36/5000</f>
        <v>0</v>
      </c>
      <c r="L36" s="13" t="n">
        <f>K36*D36</f>
        <v>0</v>
      </c>
      <c r="O36" s="6"/>
      <c r="P36" s="19" t="n">
        <v>0.4</v>
      </c>
      <c r="Q36" s="7" t="n">
        <f>O36*P36/0.6</f>
        <v>0</v>
      </c>
      <c r="R36" s="20" t="n">
        <v>0</v>
      </c>
      <c r="S36" s="6" t="n">
        <f>O36*R36</f>
        <v>0</v>
      </c>
      <c r="T36" s="11" t="n">
        <f>Q36*R36</f>
        <v>0</v>
      </c>
      <c r="U36" s="12" t="n">
        <f>R36/$P$39</f>
        <v>0</v>
      </c>
      <c r="V36" s="15"/>
      <c r="W36" s="35"/>
      <c r="X36" s="13"/>
      <c r="Y36" s="13" t="n">
        <f>O36/5000</f>
        <v>0</v>
      </c>
      <c r="Z36" s="13" t="n">
        <f>Y36*R36</f>
        <v>0</v>
      </c>
    </row>
    <row r="37" ht="16.5" customHeight="1">
      <c r="A37" s="6"/>
      <c r="B37" s="19" t="n">
        <v>0.4</v>
      </c>
      <c r="C37" s="7" t="n">
        <f>A37*B37/0.6</f>
        <v>0</v>
      </c>
      <c r="D37" s="20" t="n">
        <v>0</v>
      </c>
      <c r="E37" s="6" t="n">
        <f>A37*D37</f>
        <v>0</v>
      </c>
      <c r="F37" s="11" t="n">
        <f>C37*D37</f>
        <v>0</v>
      </c>
      <c r="G37" s="12" t="n">
        <f>D37/$B$18</f>
        <v>0</v>
      </c>
      <c r="H37" s="15"/>
      <c r="I37" s="48"/>
      <c r="J37" s="13"/>
      <c r="K37" s="13" t="n">
        <f>A37/5000</f>
        <v>0</v>
      </c>
      <c r="L37" s="13" t="n">
        <f>K37*D37</f>
        <v>0</v>
      </c>
      <c r="O37" s="6"/>
      <c r="P37" s="19" t="n">
        <v>0.4</v>
      </c>
      <c r="Q37" s="7" t="n">
        <f>O37*P37/0.6</f>
        <v>0</v>
      </c>
      <c r="R37" s="20" t="n">
        <v>0</v>
      </c>
      <c r="S37" s="6" t="n">
        <f>O37*R37</f>
        <v>0</v>
      </c>
      <c r="T37" s="11" t="n">
        <f>Q37*R37</f>
        <v>0</v>
      </c>
      <c r="U37" s="12" t="n">
        <f>R37/$P$39</f>
        <v>0</v>
      </c>
      <c r="V37" s="15"/>
      <c r="W37" s="48"/>
      <c r="X37" s="13"/>
      <c r="Y37" s="13" t="n">
        <f>O37/5000</f>
        <v>0</v>
      </c>
      <c r="Z37" s="13" t="n">
        <f>Y37*R37</f>
        <v>0</v>
      </c>
    </row>
    <row r="38" ht="16.5" customHeight="1">
      <c r="A38" s="17"/>
      <c r="B38" s="17"/>
      <c r="C38" s="17"/>
      <c r="D38" s="17"/>
      <c r="E38" s="17"/>
      <c r="F38" s="17"/>
      <c r="G38" s="17"/>
      <c r="H38" s="17"/>
      <c r="O38" s="17"/>
      <c r="P38" s="17"/>
      <c r="Q38" s="17"/>
      <c r="R38" s="17"/>
      <c r="S38" s="17"/>
      <c r="T38" s="17"/>
      <c r="U38" s="17"/>
      <c r="V38" s="17"/>
    </row>
    <row r="39" ht="16.5" customHeight="1">
      <c r="A39" s="22" t="s">
        <v>21</v>
      </c>
      <c r="B39" s="23" t="n">
        <f>SUM(D29:D37)</f>
        <v>2375</v>
      </c>
      <c r="C39" s="24" t="s">
        <v>22</v>
      </c>
      <c r="D39" s="10"/>
      <c r="E39" s="31" t="n">
        <f>SUM(E29:E37)</f>
        <v>34400000</v>
      </c>
      <c r="F39" s="39" t="s">
        <v>23</v>
      </c>
      <c r="G39" s="40"/>
      <c r="H39" s="41" t="n">
        <f>E39/E41</f>
        <v>1.44842105263158</v>
      </c>
      <c r="O39" s="22" t="s">
        <v>21</v>
      </c>
      <c r="P39" s="23" t="n">
        <f>SUM(R29:R37)</f>
        <v>2575</v>
      </c>
      <c r="Q39" s="24" t="s">
        <v>22</v>
      </c>
      <c r="R39" s="10"/>
      <c r="S39" s="31" t="n">
        <f>SUM(S29:S37)</f>
        <v>34600000</v>
      </c>
      <c r="T39" s="39" t="s">
        <v>23</v>
      </c>
      <c r="U39" s="40"/>
      <c r="V39" s="41" t="n">
        <f>S39/S41</f>
        <v>1.34368932038835</v>
      </c>
    </row>
    <row r="40" ht="16.5" customHeight="1">
      <c r="A40" s="22" t="s">
        <v>24</v>
      </c>
      <c r="B40" s="22" t="n">
        <v>10000</v>
      </c>
      <c r="C40" s="24" t="s">
        <v>25</v>
      </c>
      <c r="D40" s="10"/>
      <c r="E40" s="31" t="n">
        <f>SUM(F29:F37)</f>
        <v>22933333.3333333</v>
      </c>
      <c r="F40" s="39" t="s">
        <v>26</v>
      </c>
      <c r="G40" s="40"/>
      <c r="H40" s="41" t="n">
        <f>E40/E41</f>
        <v>0.965614035087718</v>
      </c>
      <c r="O40" s="22" t="s">
        <v>24</v>
      </c>
      <c r="P40" s="22" t="n">
        <v>10000</v>
      </c>
      <c r="Q40" s="24" t="s">
        <v>25</v>
      </c>
      <c r="R40" s="10"/>
      <c r="S40" s="31" t="n">
        <f>SUM(T29:T37)</f>
        <v>23066666.6666666</v>
      </c>
      <c r="T40" s="39" t="s">
        <v>26</v>
      </c>
      <c r="U40" s="40"/>
      <c r="V40" s="41" t="n">
        <f>S40/S41</f>
        <v>0.895792880258897</v>
      </c>
    </row>
    <row r="41" ht="16.5" customHeight="1">
      <c r="A41" s="15"/>
      <c r="B41" s="15"/>
      <c r="C41" s="24" t="s">
        <v>27</v>
      </c>
      <c r="D41" s="10"/>
      <c r="E41" s="8" t="n">
        <f>B39*B40</f>
        <v>23750000</v>
      </c>
      <c r="F41" s="39" t="s">
        <v>28</v>
      </c>
      <c r="G41" s="40"/>
      <c r="H41" s="41" t="n">
        <f>E41/E40</f>
        <v>1.03561046511628</v>
      </c>
      <c r="O41" s="15"/>
      <c r="P41" s="15"/>
      <c r="Q41" s="24" t="s">
        <v>27</v>
      </c>
      <c r="R41" s="10"/>
      <c r="S41" s="8" t="n">
        <f>P39*P40</f>
        <v>25750000</v>
      </c>
      <c r="T41" s="39" t="s">
        <v>28</v>
      </c>
      <c r="U41" s="40"/>
      <c r="V41" s="41" t="n">
        <f>S41/S40</f>
        <v>1.11632947976879</v>
      </c>
    </row>
    <row r="42" ht="16.5" customHeight="1">
      <c r="A42" s="9" t="s">
        <v>51</v>
      </c>
      <c r="B42" s="34" t="s">
        <v>117</v>
      </c>
      <c r="H42" s="5" t="n">
        <f>100*B40*(1.45-H39)</f>
        <v>1578.94736842001</v>
      </c>
      <c r="O42" s="9" t="s">
        <v>51</v>
      </c>
      <c r="P42" s="34" t="s">
        <v>117</v>
      </c>
      <c r="V42" s="5" t="n">
        <f>100*P40*(1.45-V39)</f>
        <v>106310.67961165</v>
      </c>
    </row>
    <row r="43" ht="16.5" customHeight="1">
      <c r="A43" s="9" t="s">
        <v>74</v>
      </c>
      <c r="B43" s="34" t="s">
        <v>124</v>
      </c>
      <c r="O43" s="9" t="s">
        <v>74</v>
      </c>
      <c r="P43" s="34" t="s">
        <v>90</v>
      </c>
    </row>
    <row r="44" ht="16.5" customHeight="1">
      <c r="A44" s="9" t="s">
        <v>77</v>
      </c>
      <c r="B44" s="34" t="s">
        <v>124</v>
      </c>
      <c r="O44" s="9" t="s">
        <v>77</v>
      </c>
      <c r="P44" s="34" t="s">
        <v>90</v>
      </c>
    </row>
    <row r="45" ht="16.5" customHeight="1">
      <c r="A45" s="9" t="s">
        <v>125</v>
      </c>
      <c r="B45" s="9" t="s">
        <v>124</v>
      </c>
    </row>
  </sheetData>
  <mergeCells count="32">
    <mergeCell ref="F18:G18"/>
    <mergeCell ref="F19:G19"/>
    <mergeCell ref="A1:H1"/>
    <mergeCell ref="A2:H2"/>
    <mergeCell ref="C18:D18"/>
    <mergeCell ref="C19:D19"/>
    <mergeCell ref="C20:D20"/>
    <mergeCell ref="F20:G20"/>
    <mergeCell ref="T18:U18"/>
    <mergeCell ref="T19:U19"/>
    <mergeCell ref="O1:V1"/>
    <mergeCell ref="O2:V2"/>
    <mergeCell ref="Q18:R18"/>
    <mergeCell ref="Q19:R19"/>
    <mergeCell ref="Q20:R20"/>
    <mergeCell ref="T20:U20"/>
    <mergeCell ref="F39:G39"/>
    <mergeCell ref="F40:G40"/>
    <mergeCell ref="A26:H26"/>
    <mergeCell ref="A27:H27"/>
    <mergeCell ref="C39:D39"/>
    <mergeCell ref="C40:D40"/>
    <mergeCell ref="C41:D41"/>
    <mergeCell ref="F41:G41"/>
    <mergeCell ref="T39:U39"/>
    <mergeCell ref="T40:U40"/>
    <mergeCell ref="O26:V26"/>
    <mergeCell ref="O27:V27"/>
    <mergeCell ref="Q39:R39"/>
    <mergeCell ref="Q40:R40"/>
    <mergeCell ref="Q41:R41"/>
    <mergeCell ref="T41:U4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30" t="s">
        <v>126</v>
      </c>
      <c r="B1" s="27"/>
      <c r="C1" s="27"/>
      <c r="D1" s="27"/>
      <c r="E1" s="27"/>
      <c r="F1" s="27"/>
      <c r="G1" s="27"/>
      <c r="H1" s="28"/>
      <c r="I1" s="9"/>
      <c r="J1" s="9"/>
      <c r="K1" s="9"/>
      <c r="N1" s="30" t="s">
        <v>126</v>
      </c>
      <c r="O1" s="27"/>
      <c r="P1" s="27"/>
      <c r="Q1" s="27"/>
      <c r="R1" s="27"/>
      <c r="S1" s="27"/>
      <c r="T1" s="27"/>
      <c r="U1" s="28"/>
      <c r="V1" s="9"/>
      <c r="W1" s="9"/>
      <c r="X1" s="9"/>
    </row>
    <row r="2" ht="16.5" customHeight="1">
      <c r="A2" s="15" t="s">
        <v>109</v>
      </c>
      <c r="B2" s="10"/>
      <c r="C2" s="10"/>
      <c r="D2" s="10"/>
      <c r="E2" s="10"/>
      <c r="F2" s="10"/>
      <c r="G2" s="10"/>
      <c r="H2" s="10"/>
      <c r="I2" s="9"/>
      <c r="J2" s="9"/>
      <c r="K2" s="9"/>
      <c r="N2" s="15" t="s">
        <v>109</v>
      </c>
      <c r="O2" s="10"/>
      <c r="P2" s="10"/>
      <c r="Q2" s="10"/>
      <c r="R2" s="10"/>
      <c r="S2" s="10"/>
      <c r="T2" s="10"/>
      <c r="U2" s="10"/>
      <c r="V2" s="9"/>
      <c r="W2" s="9"/>
      <c r="X2" s="9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12</v>
      </c>
      <c r="K3" s="9"/>
      <c r="N3" s="17" t="s">
        <v>2</v>
      </c>
      <c r="O3" s="15" t="s">
        <v>3</v>
      </c>
      <c r="P3" s="18" t="s">
        <v>4</v>
      </c>
      <c r="Q3" s="20" t="s">
        <v>5</v>
      </c>
      <c r="R3" s="17" t="s">
        <v>6</v>
      </c>
      <c r="S3" s="15" t="s">
        <v>7</v>
      </c>
      <c r="T3" s="15" t="s">
        <v>8</v>
      </c>
      <c r="U3" s="17" t="s">
        <v>9</v>
      </c>
      <c r="V3" s="9" t="s">
        <v>10</v>
      </c>
      <c r="W3" s="9" t="s">
        <v>12</v>
      </c>
      <c r="X3" s="9"/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20" t="n">
        <v>6700</v>
      </c>
      <c r="E4" s="6" t="n">
        <f>A4*D4</f>
        <v>6700000</v>
      </c>
      <c r="F4" s="11" t="n">
        <f>C4*D4</f>
        <v>4466666.66666667</v>
      </c>
      <c r="G4" s="12" t="n">
        <f>D4/$B$9</f>
        <v>0.784543325526932</v>
      </c>
      <c r="H4" s="15" t="s">
        <v>31</v>
      </c>
      <c r="I4" s="13"/>
      <c r="J4" s="13" t="n">
        <v>4</v>
      </c>
      <c r="K4" s="13" t="n">
        <f>J4*D4</f>
        <v>26800</v>
      </c>
      <c r="N4" s="6" t="n">
        <v>1000</v>
      </c>
      <c r="O4" s="19" t="n">
        <v>0.4</v>
      </c>
      <c r="P4" s="7" t="n">
        <f>N4*O4/0.6</f>
        <v>666.666666666667</v>
      </c>
      <c r="Q4" s="20" t="n">
        <v>7100</v>
      </c>
      <c r="R4" s="6" t="n">
        <f>N4*Q4</f>
        <v>7100000</v>
      </c>
      <c r="S4" s="11" t="n">
        <f>P4*Q4</f>
        <v>4733333.33333334</v>
      </c>
      <c r="T4" s="12" t="n">
        <f>Q4/$O$9</f>
        <v>0.794183445190157</v>
      </c>
      <c r="U4" s="15"/>
      <c r="V4" s="13"/>
      <c r="W4" s="13" t="n">
        <v>4</v>
      </c>
      <c r="X4" s="13" t="n">
        <f>W4*Q4</f>
        <v>28400</v>
      </c>
    </row>
    <row r="5" ht="16.5" customHeight="1">
      <c r="A5" s="6" t="n">
        <v>20000</v>
      </c>
      <c r="B5" s="19" t="n">
        <v>0.4</v>
      </c>
      <c r="C5" s="7" t="n">
        <f>A5*B5/0.6</f>
        <v>13333.3333333333</v>
      </c>
      <c r="D5" s="20" t="n">
        <v>1500</v>
      </c>
      <c r="E5" s="6" t="n">
        <f>A5*D5</f>
        <v>30000000</v>
      </c>
      <c r="F5" s="11" t="n">
        <f>C5*D5</f>
        <v>19999999.9999999</v>
      </c>
      <c r="G5" s="12" t="n">
        <f>D5/$B$9</f>
        <v>0.175644028103045</v>
      </c>
      <c r="H5" s="4" t="s">
        <v>127</v>
      </c>
      <c r="I5" s="35"/>
      <c r="J5" s="13" t="n">
        <f>A5/5000</f>
        <v>4</v>
      </c>
      <c r="K5" s="13" t="n">
        <f>J5*D5</f>
        <v>6000</v>
      </c>
      <c r="N5" s="6" t="n">
        <v>20000</v>
      </c>
      <c r="O5" s="19" t="n">
        <v>0.4</v>
      </c>
      <c r="P5" s="7" t="n">
        <f>N5*O5/0.6</f>
        <v>13333.3333333333</v>
      </c>
      <c r="Q5" s="20" t="n">
        <v>1500</v>
      </c>
      <c r="R5" s="6" t="n">
        <f>N5*Q5</f>
        <v>30000000</v>
      </c>
      <c r="S5" s="11" t="n">
        <f>P5*Q5</f>
        <v>19999999.9999999</v>
      </c>
      <c r="T5" s="12" t="n">
        <f>Q5/$O$9</f>
        <v>0.167785234899329</v>
      </c>
      <c r="U5" s="15"/>
      <c r="V5" s="35"/>
      <c r="W5" s="13" t="n">
        <f>N5/5000</f>
        <v>4</v>
      </c>
      <c r="X5" s="13" t="n">
        <f>W5*Q5</f>
        <v>6000</v>
      </c>
    </row>
    <row r="6" ht="16.5" customHeight="1">
      <c r="A6" s="6" t="n">
        <v>52000</v>
      </c>
      <c r="B6" s="19" t="n">
        <v>0.4</v>
      </c>
      <c r="C6" s="7" t="n">
        <f>A6*B6/0.6</f>
        <v>34666.6666666667</v>
      </c>
      <c r="D6" s="20" t="n">
        <v>300</v>
      </c>
      <c r="E6" s="6" t="n">
        <f>A6*D6</f>
        <v>15600000</v>
      </c>
      <c r="F6" s="11" t="n">
        <f>C6*D6</f>
        <v>10400000</v>
      </c>
      <c r="G6" s="12" t="n">
        <f>D6/$B$9</f>
        <v>0.0351288056206089</v>
      </c>
      <c r="H6" s="15" t="s">
        <v>128</v>
      </c>
      <c r="I6" s="16"/>
      <c r="J6" s="13" t="n">
        <f>A6/5000</f>
        <v>10.4</v>
      </c>
      <c r="K6" s="13" t="n">
        <f>J6*D6</f>
        <v>3120</v>
      </c>
      <c r="N6" s="6" t="n">
        <v>52000</v>
      </c>
      <c r="O6" s="19" t="n">
        <v>0.4</v>
      </c>
      <c r="P6" s="7" t="n">
        <f>N6*O6/0.6</f>
        <v>34666.6666666667</v>
      </c>
      <c r="Q6" s="20" t="n">
        <v>300</v>
      </c>
      <c r="R6" s="6" t="n">
        <f>N6*Q6</f>
        <v>15600000</v>
      </c>
      <c r="S6" s="11" t="n">
        <f>P6*Q6</f>
        <v>10400000</v>
      </c>
      <c r="T6" s="12" t="n">
        <f>Q6/$O$9</f>
        <v>0.0335570469798658</v>
      </c>
      <c r="U6" s="15"/>
      <c r="V6" s="16"/>
      <c r="W6" s="13" t="n">
        <f>N6/5000</f>
        <v>10.4</v>
      </c>
      <c r="X6" s="13" t="n">
        <f>W6*Q6</f>
        <v>3120</v>
      </c>
    </row>
    <row r="7" ht="16.5" customHeight="1">
      <c r="A7" s="6" t="n">
        <v>200000</v>
      </c>
      <c r="B7" s="19" t="n">
        <v>0.4</v>
      </c>
      <c r="C7" s="7" t="n">
        <f>A7*B7/0.6</f>
        <v>133333.333333333</v>
      </c>
      <c r="D7" s="76" t="n">
        <v>40</v>
      </c>
      <c r="E7" s="6" t="n">
        <f>A7*D7</f>
        <v>8000000</v>
      </c>
      <c r="F7" s="11" t="n">
        <f>C7*D7</f>
        <v>5333333.33333332</v>
      </c>
      <c r="G7" s="12" t="n">
        <f>D7/$B$9</f>
        <v>0.00468384074941452</v>
      </c>
      <c r="H7" s="15" t="s">
        <v>129</v>
      </c>
      <c r="I7" s="16"/>
      <c r="J7" s="13" t="n">
        <f>A7/5000</f>
        <v>40</v>
      </c>
      <c r="K7" s="13" t="n">
        <f>J7*D7</f>
        <v>1600</v>
      </c>
      <c r="N7" s="6" t="n">
        <v>200000</v>
      </c>
      <c r="O7" s="19" t="n">
        <v>0.4</v>
      </c>
      <c r="P7" s="7" t="n">
        <f>N7*O7/0.6</f>
        <v>133333.333333333</v>
      </c>
      <c r="Q7" s="76" t="n">
        <v>40</v>
      </c>
      <c r="R7" s="6" t="n">
        <f>N7*Q7</f>
        <v>8000000</v>
      </c>
      <c r="S7" s="11" t="n">
        <f>P7*Q7</f>
        <v>5333333.33333332</v>
      </c>
      <c r="T7" s="12" t="n">
        <f>Q7/$O$9</f>
        <v>0.00447427293064877</v>
      </c>
      <c r="U7" s="15"/>
      <c r="V7" s="16"/>
      <c r="W7" s="13" t="n">
        <f>N7/5000</f>
        <v>40</v>
      </c>
      <c r="X7" s="13" t="n">
        <f>W7*Q7</f>
        <v>1600</v>
      </c>
    </row>
    <row r="8" ht="16.5" customHeight="1">
      <c r="A8" s="17"/>
      <c r="B8" s="17"/>
      <c r="C8" s="17"/>
      <c r="D8" s="17"/>
      <c r="E8" s="17"/>
      <c r="F8" s="17"/>
      <c r="G8" s="17"/>
      <c r="H8" s="17"/>
      <c r="I8" s="9"/>
      <c r="J8" s="9"/>
      <c r="K8" s="9"/>
      <c r="N8" s="17"/>
      <c r="O8" s="17"/>
      <c r="P8" s="17"/>
      <c r="Q8" s="17"/>
      <c r="R8" s="17"/>
      <c r="S8" s="17"/>
      <c r="T8" s="17"/>
      <c r="U8" s="17"/>
      <c r="V8" s="9"/>
      <c r="W8" s="9"/>
      <c r="X8" s="9"/>
    </row>
    <row r="9" ht="16.5" customHeight="1">
      <c r="A9" s="22" t="s">
        <v>21</v>
      </c>
      <c r="B9" s="23" t="n">
        <f>SUM(D4:D7)</f>
        <v>8540</v>
      </c>
      <c r="C9" s="24" t="s">
        <v>22</v>
      </c>
      <c r="D9" s="10"/>
      <c r="E9" s="31" t="n">
        <f>SUM(E4:E7)</f>
        <v>60300000</v>
      </c>
      <c r="F9" s="39" t="s">
        <v>23</v>
      </c>
      <c r="G9" s="40"/>
      <c r="H9" s="41" t="n">
        <f>E9/E11</f>
        <v>1.41217798594848</v>
      </c>
      <c r="I9" s="9"/>
      <c r="J9" s="9"/>
      <c r="K9" s="9"/>
      <c r="N9" s="22" t="s">
        <v>21</v>
      </c>
      <c r="O9" s="23" t="n">
        <f>SUM(Q4:Q7)</f>
        <v>8940</v>
      </c>
      <c r="P9" s="24" t="s">
        <v>22</v>
      </c>
      <c r="Q9" s="10"/>
      <c r="R9" s="31" t="n">
        <f>SUM(R4:R7)</f>
        <v>60700000</v>
      </c>
      <c r="S9" s="39" t="s">
        <v>23</v>
      </c>
      <c r="T9" s="40"/>
      <c r="U9" s="41" t="n">
        <f>R9/R11</f>
        <v>1.3579418344519</v>
      </c>
      <c r="V9" s="9"/>
      <c r="W9" s="9"/>
      <c r="X9" s="9"/>
    </row>
    <row r="10" ht="16.5" customHeight="1">
      <c r="A10" s="22" t="s">
        <v>24</v>
      </c>
      <c r="B10" s="22" t="n">
        <v>5000</v>
      </c>
      <c r="C10" s="24" t="s">
        <v>25</v>
      </c>
      <c r="D10" s="10"/>
      <c r="E10" s="31" t="n">
        <f>SUM(F4:F7)</f>
        <v>40199999.9999999</v>
      </c>
      <c r="F10" s="39" t="s">
        <v>26</v>
      </c>
      <c r="G10" s="40"/>
      <c r="H10" s="41" t="n">
        <f>E10/E11</f>
        <v>0.941451990632316</v>
      </c>
      <c r="I10" s="9"/>
      <c r="J10" s="9"/>
      <c r="K10" s="9"/>
      <c r="N10" s="22" t="s">
        <v>24</v>
      </c>
      <c r="O10" s="22" t="n">
        <v>5000</v>
      </c>
      <c r="P10" s="24" t="s">
        <v>25</v>
      </c>
      <c r="Q10" s="10"/>
      <c r="R10" s="31" t="n">
        <f>SUM(S4:S7)</f>
        <v>40466666.6666666</v>
      </c>
      <c r="S10" s="39" t="s">
        <v>26</v>
      </c>
      <c r="T10" s="40"/>
      <c r="U10" s="41" t="n">
        <f>R10/R11</f>
        <v>0.905294556301266</v>
      </c>
      <c r="V10" s="9"/>
      <c r="W10" s="9"/>
      <c r="X10" s="9"/>
    </row>
    <row r="11" ht="16.5" customHeight="1">
      <c r="A11" s="15"/>
      <c r="B11" s="15"/>
      <c r="C11" s="24" t="s">
        <v>27</v>
      </c>
      <c r="D11" s="10"/>
      <c r="E11" s="8" t="n">
        <f>B9*B10</f>
        <v>42700000</v>
      </c>
      <c r="F11" s="39" t="s">
        <v>28</v>
      </c>
      <c r="G11" s="40"/>
      <c r="H11" s="41" t="n">
        <f>E11/E10</f>
        <v>1.06218905472637</v>
      </c>
      <c r="I11" s="9"/>
      <c r="J11" s="9"/>
      <c r="K11" s="9"/>
      <c r="N11" s="15"/>
      <c r="O11" s="15"/>
      <c r="P11" s="24" t="s">
        <v>27</v>
      </c>
      <c r="Q11" s="10"/>
      <c r="R11" s="8" t="n">
        <f>O9*O10</f>
        <v>44700000</v>
      </c>
      <c r="S11" s="39" t="s">
        <v>28</v>
      </c>
      <c r="T11" s="40"/>
      <c r="U11" s="41" t="n">
        <f>R11/R10</f>
        <v>1.10461285008237</v>
      </c>
      <c r="V11" s="9"/>
      <c r="W11" s="9"/>
      <c r="X11" s="9"/>
    </row>
    <row r="13" ht="16.5" customHeight="1">
      <c r="A13" s="4" t="s">
        <v>130</v>
      </c>
    </row>
    <row r="14" ht="16.5" customHeight="1">
      <c r="A14" s="4" t="s">
        <v>131</v>
      </c>
    </row>
    <row r="15" ht="16.5" customHeight="1">
      <c r="A15" s="4" t="s">
        <v>132</v>
      </c>
    </row>
    <row r="16" ht="16.5" customHeight="1">
      <c r="A16" s="4" t="s">
        <v>133</v>
      </c>
    </row>
  </sheetData>
  <mergeCells count="16">
    <mergeCell ref="F9:G9"/>
    <mergeCell ref="F10:G10"/>
    <mergeCell ref="A1:H1"/>
    <mergeCell ref="A2:H2"/>
    <mergeCell ref="C9:D9"/>
    <mergeCell ref="C10:D10"/>
    <mergeCell ref="C11:D11"/>
    <mergeCell ref="F11:G11"/>
    <mergeCell ref="S9:T9"/>
    <mergeCell ref="S10:T10"/>
    <mergeCell ref="N1:U1"/>
    <mergeCell ref="N2:U2"/>
    <mergeCell ref="P9:Q9"/>
    <mergeCell ref="P10:Q10"/>
    <mergeCell ref="P11:Q11"/>
    <mergeCell ref="S11:T1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19.6728515625" customWidth="1"/>
    <col min="10" max="10" width="13.125" customWidth="1"/>
  </cols>
  <sheetData>
    <row r="1" ht="16.5" customHeight="1">
      <c r="A1" s="30" t="s">
        <v>134</v>
      </c>
      <c r="B1" s="27"/>
      <c r="C1" s="27"/>
      <c r="D1" s="27"/>
      <c r="E1" s="27"/>
      <c r="F1" s="27"/>
      <c r="G1" s="27"/>
      <c r="H1" s="28"/>
      <c r="N1" s="77" t="s">
        <v>134</v>
      </c>
      <c r="O1" s="79"/>
      <c r="P1" s="79"/>
      <c r="Q1" s="79"/>
      <c r="R1" s="79"/>
      <c r="S1" s="79"/>
      <c r="T1" s="79"/>
      <c r="U1" s="81"/>
    </row>
    <row r="2" ht="16.5" customHeight="1">
      <c r="A2" s="15" t="s">
        <v>135</v>
      </c>
      <c r="B2" s="10"/>
      <c r="C2" s="10"/>
      <c r="D2" s="10"/>
      <c r="E2" s="10"/>
      <c r="F2" s="10"/>
      <c r="G2" s="10"/>
      <c r="H2" s="10"/>
      <c r="N2" s="15" t="s">
        <v>135</v>
      </c>
      <c r="O2" s="10"/>
      <c r="P2" s="10"/>
      <c r="Q2" s="10"/>
      <c r="R2" s="10"/>
      <c r="S2" s="10"/>
      <c r="T2" s="10"/>
      <c r="U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136</v>
      </c>
      <c r="J3" s="9" t="s">
        <v>11</v>
      </c>
      <c r="K3" s="9" t="s">
        <v>12</v>
      </c>
      <c r="N3" s="17" t="s">
        <v>2</v>
      </c>
      <c r="O3" s="15" t="s">
        <v>3</v>
      </c>
      <c r="P3" s="18" t="s">
        <v>4</v>
      </c>
      <c r="Q3" s="20" t="s">
        <v>5</v>
      </c>
      <c r="R3" s="17" t="s">
        <v>6</v>
      </c>
      <c r="S3" s="15" t="s">
        <v>7</v>
      </c>
      <c r="T3" s="15" t="s">
        <v>8</v>
      </c>
      <c r="U3" s="17" t="s">
        <v>9</v>
      </c>
      <c r="V3" s="9" t="s">
        <v>10</v>
      </c>
      <c r="W3" s="9" t="s">
        <v>11</v>
      </c>
      <c r="X3" s="9" t="s">
        <v>12</v>
      </c>
    </row>
    <row r="4" ht="16.5" customHeight="1">
      <c r="A4" s="6" t="n">
        <v>2000</v>
      </c>
      <c r="B4" s="19" t="n">
        <v>0.4</v>
      </c>
      <c r="C4" s="7" t="n">
        <f>A4*B4/0.6</f>
        <v>1333.33333333333</v>
      </c>
      <c r="D4" s="20" t="n">
        <v>330</v>
      </c>
      <c r="E4" s="6" t="n">
        <f>A4*D4</f>
        <v>660000</v>
      </c>
      <c r="F4" s="11" t="n">
        <f>C4*D4</f>
        <v>439999.999999999</v>
      </c>
      <c r="G4" s="12" t="n">
        <f>D4/$B$15</f>
        <v>0.670731707317073</v>
      </c>
      <c r="H4" s="15" t="s">
        <v>137</v>
      </c>
      <c r="I4" s="15" t="s">
        <v>138</v>
      </c>
      <c r="J4" s="13"/>
      <c r="K4" s="13" t="n">
        <v>4</v>
      </c>
      <c r="L4" s="13" t="n">
        <f>K4*D4</f>
        <v>1320</v>
      </c>
      <c r="M4" s="32"/>
      <c r="N4" s="6" t="n">
        <v>2000</v>
      </c>
      <c r="O4" s="19" t="n">
        <v>0.4</v>
      </c>
      <c r="P4" s="7" t="n">
        <f>N4*O4/0.6</f>
        <v>1333.33333333333</v>
      </c>
      <c r="Q4" s="82" t="n">
        <v>350</v>
      </c>
      <c r="R4" s="6" t="n">
        <f>N4*Q4</f>
        <v>700000</v>
      </c>
      <c r="S4" s="11" t="n">
        <f>P4*Q4</f>
        <v>466666.666666666</v>
      </c>
      <c r="T4" s="12" t="n">
        <f>Q4/$O$15</f>
        <v>0.68359375</v>
      </c>
      <c r="U4" s="15" t="s">
        <v>139</v>
      </c>
      <c r="V4" s="5"/>
      <c r="W4" s="13"/>
      <c r="X4" s="13" t="n">
        <v>4</v>
      </c>
      <c r="Y4" s="13" t="n">
        <f>X4*Q4</f>
        <v>1400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0</v>
      </c>
      <c r="E5" s="6" t="n">
        <f>A5*D5</f>
        <v>0</v>
      </c>
      <c r="F5" s="11" t="n">
        <f>C5*D5</f>
        <v>0</v>
      </c>
      <c r="G5" s="12" t="n">
        <f>D5/$B$15</f>
        <v>0</v>
      </c>
      <c r="H5" s="15"/>
      <c r="J5" s="13"/>
      <c r="K5" s="13" t="n">
        <f>A5/5000</f>
        <v>2</v>
      </c>
      <c r="L5" s="13" t="n">
        <f>K5*D5</f>
        <v>0</v>
      </c>
      <c r="N5" s="6" t="n">
        <v>10000</v>
      </c>
      <c r="O5" s="19" t="n">
        <v>0.4</v>
      </c>
      <c r="P5" s="7" t="n">
        <f>N5*O5/0.6</f>
        <v>6666.66666666667</v>
      </c>
      <c r="Q5" s="20" t="n">
        <v>0</v>
      </c>
      <c r="R5" s="6" t="n">
        <f>N5*Q5</f>
        <v>0</v>
      </c>
      <c r="S5" s="11" t="n">
        <f>P5*Q5</f>
        <v>0</v>
      </c>
      <c r="T5" s="12" t="n">
        <f>Q5/$O$15</f>
        <v>0</v>
      </c>
      <c r="U5" s="15"/>
      <c r="W5" s="13"/>
      <c r="X5" s="13" t="n">
        <f>N5/5000</f>
        <v>2</v>
      </c>
      <c r="Y5" s="13" t="n">
        <f>X5*Q5</f>
        <v>0</v>
      </c>
    </row>
    <row r="6" ht="16.5" customHeight="1">
      <c r="A6" s="6" t="n">
        <v>20000</v>
      </c>
      <c r="B6" s="19" t="n">
        <v>0.4</v>
      </c>
      <c r="C6" s="7" t="n">
        <f>A6*B6/0.6</f>
        <v>13333.3333333333</v>
      </c>
      <c r="D6" s="20" t="n">
        <v>100</v>
      </c>
      <c r="E6" s="6" t="n">
        <f>A6*D6</f>
        <v>2000000</v>
      </c>
      <c r="F6" s="11" t="n">
        <f>C6*D6</f>
        <v>1333333.33333333</v>
      </c>
      <c r="G6" s="12" t="n">
        <f>D6/$B$15</f>
        <v>0.203252032520325</v>
      </c>
      <c r="H6" s="15" t="s">
        <v>140</v>
      </c>
      <c r="I6" s="15" t="s">
        <v>141</v>
      </c>
      <c r="J6" s="13"/>
      <c r="K6" s="13" t="n">
        <f>A6/5000</f>
        <v>4</v>
      </c>
      <c r="L6" s="13" t="n">
        <f>K6*D6</f>
        <v>400</v>
      </c>
      <c r="N6" s="6" t="n">
        <v>20000</v>
      </c>
      <c r="O6" s="19" t="n">
        <v>0.4</v>
      </c>
      <c r="P6" s="7" t="n">
        <f>N6*O6/0.6</f>
        <v>13333.3333333333</v>
      </c>
      <c r="Q6" s="20" t="n">
        <v>100</v>
      </c>
      <c r="R6" s="6" t="n">
        <f>N6*Q6</f>
        <v>2000000</v>
      </c>
      <c r="S6" s="11" t="n">
        <f>P6*Q6</f>
        <v>1333333.33333333</v>
      </c>
      <c r="T6" s="12" t="n">
        <f>Q6/$O$15</f>
        <v>0.1953125</v>
      </c>
      <c r="U6" s="15" t="s">
        <v>142</v>
      </c>
      <c r="W6" s="13"/>
      <c r="X6" s="13" t="n">
        <f>N6/5000</f>
        <v>4</v>
      </c>
      <c r="Y6" s="13" t="n">
        <f>X6*Q6</f>
        <v>400</v>
      </c>
    </row>
    <row r="7" ht="16.5" customHeight="1">
      <c r="A7" s="6" t="n">
        <v>50000</v>
      </c>
      <c r="B7" s="19" t="n">
        <v>0.4</v>
      </c>
      <c r="C7" s="7" t="n">
        <f>A7*B7/0.6</f>
        <v>33333.3333333333</v>
      </c>
      <c r="D7" s="20" t="n">
        <v>50</v>
      </c>
      <c r="E7" s="6" t="n">
        <f>A7*D7</f>
        <v>2500000</v>
      </c>
      <c r="F7" s="11" t="n">
        <f>C7*D7</f>
        <v>1666666.66666666</v>
      </c>
      <c r="G7" s="12" t="n">
        <f>D7/$B$15</f>
        <v>0.101626016260163</v>
      </c>
      <c r="H7" s="15" t="s">
        <v>143</v>
      </c>
      <c r="I7" s="5" t="s">
        <v>144</v>
      </c>
      <c r="J7" s="13"/>
      <c r="K7" s="13" t="n">
        <f>A7/5000</f>
        <v>10</v>
      </c>
      <c r="L7" s="13" t="n">
        <f>K7*D7</f>
        <v>500</v>
      </c>
      <c r="N7" s="6" t="n">
        <v>50000</v>
      </c>
      <c r="O7" s="19" t="n">
        <v>0.4</v>
      </c>
      <c r="P7" s="7" t="n">
        <f>N7*O7/0.6</f>
        <v>33333.3333333333</v>
      </c>
      <c r="Q7" s="20" t="n">
        <v>50</v>
      </c>
      <c r="R7" s="6" t="n">
        <f>N7*Q7</f>
        <v>2500000</v>
      </c>
      <c r="S7" s="11" t="n">
        <f>P7*Q7</f>
        <v>1666666.66666666</v>
      </c>
      <c r="T7" s="12" t="n">
        <f>Q7/$O$15</f>
        <v>0.09765625</v>
      </c>
      <c r="U7" s="15" t="s">
        <v>145</v>
      </c>
      <c r="V7" s="5"/>
      <c r="W7" s="13"/>
      <c r="X7" s="13" t="n">
        <f>N7/5000</f>
        <v>10</v>
      </c>
      <c r="Y7" s="13" t="n">
        <f>X7*Q7</f>
        <v>500</v>
      </c>
    </row>
    <row r="8" ht="29.25" customHeight="1">
      <c r="A8" s="6" t="n">
        <v>100000</v>
      </c>
      <c r="B8" s="19" t="n">
        <v>0.4</v>
      </c>
      <c r="C8" s="7" t="n">
        <f>A8*B8/0.6</f>
        <v>66666.6666666667</v>
      </c>
      <c r="D8" s="20" t="n">
        <v>10</v>
      </c>
      <c r="E8" s="6" t="n">
        <f>A8*D8</f>
        <v>1000000</v>
      </c>
      <c r="F8" s="11" t="n">
        <f>C8*D8</f>
        <v>666666.666666667</v>
      </c>
      <c r="G8" s="12" t="n">
        <f>D8/$B$15</f>
        <v>0.0203252032520325</v>
      </c>
      <c r="H8" s="21" t="s">
        <v>146</v>
      </c>
      <c r="I8" s="21" t="s">
        <v>147</v>
      </c>
      <c r="J8" s="13"/>
      <c r="K8" s="13" t="n">
        <f>A8/5000</f>
        <v>20</v>
      </c>
      <c r="L8" s="13" t="n">
        <f>K8*D8</f>
        <v>200</v>
      </c>
      <c r="N8" s="6" t="n">
        <v>100000</v>
      </c>
      <c r="O8" s="19" t="n">
        <v>0.4</v>
      </c>
      <c r="P8" s="7" t="n">
        <f>N8*O8/0.6</f>
        <v>66666.6666666667</v>
      </c>
      <c r="Q8" s="20" t="n">
        <v>10</v>
      </c>
      <c r="R8" s="6" t="n">
        <f>N8*Q8</f>
        <v>1000000</v>
      </c>
      <c r="S8" s="11" t="n">
        <f>P8*Q8</f>
        <v>666666.666666667</v>
      </c>
      <c r="T8" s="12" t="n">
        <f>Q8/$O$15</f>
        <v>0.01953125</v>
      </c>
      <c r="U8" s="21" t="s">
        <v>148</v>
      </c>
      <c r="V8" s="5"/>
      <c r="W8" s="13"/>
      <c r="X8" s="13" t="n">
        <f>N8/5000</f>
        <v>20</v>
      </c>
      <c r="Y8" s="13" t="n">
        <f>X8*Q8</f>
        <v>200</v>
      </c>
    </row>
    <row r="9" ht="16.5" customHeight="1">
      <c r="A9" s="6" t="n">
        <v>200000</v>
      </c>
      <c r="B9" s="19" t="n">
        <v>0.4</v>
      </c>
      <c r="C9" s="7" t="n">
        <f>A9*B9/0.6</f>
        <v>133333.333333333</v>
      </c>
      <c r="D9" s="20" t="n">
        <v>0</v>
      </c>
      <c r="E9" s="6" t="n">
        <f>A9*D9</f>
        <v>0</v>
      </c>
      <c r="F9" s="11" t="n">
        <f>C9*D9</f>
        <v>0</v>
      </c>
      <c r="G9" s="12" t="n">
        <f>D9/$B$15</f>
        <v>0</v>
      </c>
      <c r="H9" s="15"/>
      <c r="I9" s="5"/>
      <c r="J9" s="13"/>
      <c r="K9" s="13" t="n">
        <f>A9/5000</f>
        <v>40</v>
      </c>
      <c r="L9" s="13" t="n">
        <f>K9*D9</f>
        <v>0</v>
      </c>
      <c r="N9" s="6" t="n">
        <v>200000</v>
      </c>
      <c r="O9" s="19" t="n">
        <v>0.4</v>
      </c>
      <c r="P9" s="7" t="n">
        <f>N9*O9/0.6</f>
        <v>133333.333333333</v>
      </c>
      <c r="Q9" s="20" t="n">
        <v>0</v>
      </c>
      <c r="R9" s="6" t="n">
        <f>N9*Q9</f>
        <v>0</v>
      </c>
      <c r="S9" s="11" t="n">
        <f>P9*Q9</f>
        <v>0</v>
      </c>
      <c r="T9" s="12" t="n">
        <f>Q9/$O$15</f>
        <v>0</v>
      </c>
      <c r="U9" s="15"/>
      <c r="V9" s="5"/>
      <c r="W9" s="13"/>
      <c r="X9" s="13" t="n">
        <f>N9/5000</f>
        <v>40</v>
      </c>
      <c r="Y9" s="13" t="n">
        <f>X9*Q9</f>
        <v>0</v>
      </c>
    </row>
    <row r="10" ht="16.5" customHeight="1">
      <c r="A10" s="6" t="n">
        <v>500000</v>
      </c>
      <c r="B10" s="19" t="n">
        <v>0.4</v>
      </c>
      <c r="C10" s="7" t="n">
        <f>A10*B10/0.6</f>
        <v>333333.333333333</v>
      </c>
      <c r="D10" s="20" t="n">
        <v>2</v>
      </c>
      <c r="E10" s="6" t="n">
        <f>A10*D10</f>
        <v>1000000</v>
      </c>
      <c r="F10" s="11" t="n">
        <f>C10*D10</f>
        <v>666666.666666666</v>
      </c>
      <c r="G10" s="12" t="n">
        <f>D10/$B$15</f>
        <v>0.0040650406504065</v>
      </c>
      <c r="H10" s="15" t="s">
        <v>149</v>
      </c>
      <c r="I10" s="15" t="s">
        <v>150</v>
      </c>
      <c r="J10" s="13"/>
      <c r="K10" s="13" t="n">
        <f>A10/5000</f>
        <v>100</v>
      </c>
      <c r="L10" s="13" t="n">
        <f>K10*D10</f>
        <v>200</v>
      </c>
      <c r="N10" s="6" t="n">
        <v>500000</v>
      </c>
      <c r="O10" s="19" t="n">
        <v>0.4</v>
      </c>
      <c r="P10" s="7" t="n">
        <f>N10*O10/0.6</f>
        <v>333333.333333333</v>
      </c>
      <c r="Q10" s="20" t="n">
        <v>2</v>
      </c>
      <c r="R10" s="6" t="n">
        <f>N10*Q10</f>
        <v>1000000</v>
      </c>
      <c r="S10" s="11" t="n">
        <f>P10*Q10</f>
        <v>666666.666666666</v>
      </c>
      <c r="T10" s="12" t="n">
        <f>Q10/$O$15</f>
        <v>0.00390625</v>
      </c>
      <c r="U10" s="15" t="s">
        <v>151</v>
      </c>
      <c r="W10" s="13"/>
      <c r="X10" s="13" t="n">
        <f>N10/5000</f>
        <v>100</v>
      </c>
      <c r="Y10" s="13" t="n">
        <f>X10*Q10</f>
        <v>200</v>
      </c>
    </row>
    <row r="11" ht="16.5" customHeight="1">
      <c r="A11" s="6" t="n">
        <v>1000000</v>
      </c>
      <c r="B11" s="19" t="n">
        <v>0.4</v>
      </c>
      <c r="C11" s="7" t="n">
        <f>A11*B11/0.6</f>
        <v>666666.666666667</v>
      </c>
      <c r="D11" s="20" t="n">
        <v>0</v>
      </c>
      <c r="E11" s="6" t="n">
        <f>A11*D11</f>
        <v>0</v>
      </c>
      <c r="F11" s="11" t="n">
        <f>C11*D11</f>
        <v>0</v>
      </c>
      <c r="G11" s="12" t="n">
        <f>D11/$B$15</f>
        <v>0</v>
      </c>
      <c r="H11" s="15"/>
      <c r="I11" s="5"/>
      <c r="J11" s="13"/>
      <c r="K11" s="13" t="n">
        <f>A11/5000</f>
        <v>200</v>
      </c>
      <c r="L11" s="13" t="n">
        <f>K11*D11</f>
        <v>0</v>
      </c>
      <c r="N11" s="6" t="n">
        <v>1000000</v>
      </c>
      <c r="O11" s="19" t="n">
        <v>0.4</v>
      </c>
      <c r="P11" s="7" t="n">
        <f>N11*O11/0.6</f>
        <v>666666.666666667</v>
      </c>
      <c r="Q11" s="20" t="n">
        <v>0</v>
      </c>
      <c r="R11" s="6" t="n">
        <f>N11*Q11</f>
        <v>0</v>
      </c>
      <c r="S11" s="11" t="n">
        <f>P11*Q11</f>
        <v>0</v>
      </c>
      <c r="T11" s="12" t="n">
        <f>Q11/$O$15</f>
        <v>0</v>
      </c>
      <c r="U11" s="15"/>
      <c r="V11" s="5"/>
      <c r="W11" s="13"/>
      <c r="X11" s="13" t="n">
        <f>N11/5000</f>
        <v>200</v>
      </c>
      <c r="Y11" s="13" t="n">
        <f>X11*Q11</f>
        <v>0</v>
      </c>
    </row>
    <row r="12" ht="16.5" customHeight="1">
      <c r="A12" s="6" t="n">
        <v>2000000</v>
      </c>
      <c r="B12" s="19" t="n">
        <v>0.4</v>
      </c>
      <c r="C12" s="7" t="n">
        <f>A12*B12/0.6</f>
        <v>1333333.33333333</v>
      </c>
      <c r="D12" s="20" t="n">
        <v>0</v>
      </c>
      <c r="E12" s="6" t="n">
        <f>A12*D12</f>
        <v>0</v>
      </c>
      <c r="F12" s="11" t="n">
        <f>C12*D12</f>
        <v>0</v>
      </c>
      <c r="G12" s="12" t="n">
        <f>D12/$B$15</f>
        <v>0</v>
      </c>
      <c r="H12" s="15"/>
      <c r="J12" s="13"/>
      <c r="K12" s="13" t="n">
        <f>A12/5000</f>
        <v>400</v>
      </c>
      <c r="L12" s="13" t="n">
        <f>K12*D12</f>
        <v>0</v>
      </c>
      <c r="N12" s="6" t="n">
        <v>2000000</v>
      </c>
      <c r="O12" s="19" t="n">
        <v>0.4</v>
      </c>
      <c r="P12" s="7" t="n">
        <f>N12*O12/0.6</f>
        <v>1333333.33333333</v>
      </c>
      <c r="Q12" s="20" t="n">
        <v>0</v>
      </c>
      <c r="R12" s="6" t="n">
        <f>N12*Q12</f>
        <v>0</v>
      </c>
      <c r="S12" s="11" t="n">
        <f>P12*Q12</f>
        <v>0</v>
      </c>
      <c r="T12" s="12" t="n">
        <f>Q12/$O$15</f>
        <v>0</v>
      </c>
      <c r="U12" s="15"/>
      <c r="W12" s="13"/>
      <c r="X12" s="13" t="n">
        <f>N12/5000</f>
        <v>400</v>
      </c>
      <c r="Y12" s="13" t="n">
        <f>X12*Q12</f>
        <v>0</v>
      </c>
    </row>
    <row r="13" ht="16.5" customHeight="1">
      <c r="A13" s="6" t="n">
        <v>5000000</v>
      </c>
      <c r="B13" s="19" t="n">
        <v>0.4</v>
      </c>
      <c r="C13" s="7" t="n">
        <f>A13*B13/0.6</f>
        <v>3333333.33333333</v>
      </c>
      <c r="D13" s="20" t="n">
        <v>0</v>
      </c>
      <c r="E13" s="6" t="n">
        <f>A13*D13</f>
        <v>0</v>
      </c>
      <c r="F13" s="11" t="n">
        <f>C13*D13</f>
        <v>0</v>
      </c>
      <c r="G13" s="12" t="n">
        <f>D13/$B$15</f>
        <v>0</v>
      </c>
      <c r="H13" s="15"/>
      <c r="I13" s="5"/>
      <c r="J13" s="13"/>
      <c r="K13" s="13" t="n">
        <f>A13/5000</f>
        <v>1000</v>
      </c>
      <c r="L13" s="13" t="n">
        <f>K13*D13</f>
        <v>0</v>
      </c>
      <c r="N13" s="6" t="n">
        <v>5000000</v>
      </c>
      <c r="O13" s="19" t="n">
        <v>0.4</v>
      </c>
      <c r="P13" s="7" t="n">
        <f>N13*O13/0.6</f>
        <v>3333333.33333333</v>
      </c>
      <c r="Q13" s="20" t="n">
        <v>0</v>
      </c>
      <c r="R13" s="6" t="n">
        <f>N13*Q13</f>
        <v>0</v>
      </c>
      <c r="S13" s="11" t="n">
        <f>P13*Q13</f>
        <v>0</v>
      </c>
      <c r="T13" s="12" t="n">
        <f>Q13/$O$15</f>
        <v>0</v>
      </c>
      <c r="U13" s="15"/>
      <c r="V13" s="5"/>
      <c r="W13" s="13"/>
      <c r="X13" s="13" t="n">
        <f>N13/5000</f>
        <v>1000</v>
      </c>
      <c r="Y13" s="13" t="n">
        <f>X13*Q13</f>
        <v>0</v>
      </c>
    </row>
    <row r="14" ht="16.5" customHeight="1">
      <c r="A14" s="17"/>
      <c r="B14" s="17"/>
      <c r="C14" s="17"/>
      <c r="D14" s="17"/>
      <c r="E14" s="17"/>
      <c r="F14" s="17"/>
      <c r="G14" s="17"/>
      <c r="H14" s="17"/>
      <c r="N14" s="17"/>
      <c r="O14" s="17"/>
      <c r="P14" s="17"/>
      <c r="Q14" s="17"/>
      <c r="R14" s="17"/>
      <c r="S14" s="17"/>
      <c r="T14" s="17"/>
      <c r="U14" s="17"/>
    </row>
    <row r="15" ht="16.5" customHeight="1">
      <c r="A15" s="22" t="s">
        <v>21</v>
      </c>
      <c r="B15" s="23" t="n">
        <f>SUM(D4:D13)</f>
        <v>492</v>
      </c>
      <c r="C15" s="24" t="s">
        <v>22</v>
      </c>
      <c r="D15" s="10"/>
      <c r="E15" s="31" t="n">
        <f>SUM(E4:E13)</f>
        <v>7160000</v>
      </c>
      <c r="F15" s="39" t="s">
        <v>23</v>
      </c>
      <c r="G15" s="40"/>
      <c r="H15" s="41" t="n">
        <f>E15/E17</f>
        <v>1.45528455284553</v>
      </c>
      <c r="N15" s="22" t="s">
        <v>21</v>
      </c>
      <c r="O15" s="23" t="n">
        <f>SUM(Q4:Q13)</f>
        <v>512</v>
      </c>
      <c r="P15" s="24" t="s">
        <v>22</v>
      </c>
      <c r="Q15" s="10"/>
      <c r="R15" s="31" t="n">
        <f>SUM(R4:R13)</f>
        <v>7200000</v>
      </c>
      <c r="S15" s="39" t="s">
        <v>23</v>
      </c>
      <c r="T15" s="40"/>
      <c r="U15" s="41" t="n">
        <f>R15/R17</f>
        <v>1.40625</v>
      </c>
    </row>
    <row r="16" ht="16.5" customHeight="1">
      <c r="A16" s="22" t="s">
        <v>24</v>
      </c>
      <c r="B16" s="22" t="n">
        <v>10000</v>
      </c>
      <c r="C16" s="24" t="s">
        <v>25</v>
      </c>
      <c r="D16" s="10"/>
      <c r="E16" s="31" t="n">
        <f>SUM(F4:F13)</f>
        <v>4773333.33333332</v>
      </c>
      <c r="F16" s="39" t="s">
        <v>26</v>
      </c>
      <c r="G16" s="40"/>
      <c r="H16" s="41" t="n">
        <f>E16/E17</f>
        <v>0.970189701897016</v>
      </c>
      <c r="N16" s="22" t="s">
        <v>24</v>
      </c>
      <c r="O16" s="22" t="n">
        <v>10000</v>
      </c>
      <c r="P16" s="24" t="s">
        <v>25</v>
      </c>
      <c r="Q16" s="10"/>
      <c r="R16" s="31" t="n">
        <f>SUM(S4:S13)</f>
        <v>4799999.99999999</v>
      </c>
      <c r="S16" s="39" t="s">
        <v>26</v>
      </c>
      <c r="T16" s="40"/>
      <c r="U16" s="41" t="n">
        <f>R16/R17</f>
        <v>0.937499999999998</v>
      </c>
    </row>
    <row r="17" ht="16.5" customHeight="1">
      <c r="A17" s="15"/>
      <c r="B17" s="15"/>
      <c r="C17" s="24" t="s">
        <v>27</v>
      </c>
      <c r="D17" s="10"/>
      <c r="E17" s="8" t="n">
        <f>B15*B16</f>
        <v>4920000</v>
      </c>
      <c r="F17" s="39" t="s">
        <v>28</v>
      </c>
      <c r="G17" s="40"/>
      <c r="H17" s="41" t="n">
        <f>E17/E16</f>
        <v>1.03072625698324</v>
      </c>
      <c r="N17" s="15"/>
      <c r="O17" s="15"/>
      <c r="P17" s="24" t="s">
        <v>27</v>
      </c>
      <c r="Q17" s="10"/>
      <c r="R17" s="8" t="n">
        <f>O15*O16</f>
        <v>5120000</v>
      </c>
      <c r="S17" s="39" t="s">
        <v>28</v>
      </c>
      <c r="T17" s="40"/>
      <c r="U17" s="41" t="n">
        <f>R17/R16</f>
        <v>1.06666666666667</v>
      </c>
    </row>
  </sheetData>
  <mergeCells count="16">
    <mergeCell ref="F15:G15"/>
    <mergeCell ref="F16:G16"/>
    <mergeCell ref="A1:H1"/>
    <mergeCell ref="A2:H2"/>
    <mergeCell ref="C15:D15"/>
    <mergeCell ref="C16:D16"/>
    <mergeCell ref="C17:D17"/>
    <mergeCell ref="F17:G17"/>
    <mergeCell ref="S15:T15"/>
    <mergeCell ref="S16:T16"/>
    <mergeCell ref="N1:U1"/>
    <mergeCell ref="N2:U2"/>
    <mergeCell ref="P15:Q15"/>
    <mergeCell ref="P16:Q16"/>
    <mergeCell ref="P17:Q17"/>
    <mergeCell ref="S17:T1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19.6728515625" customWidth="1"/>
    <col min="10" max="10" width="13.125" customWidth="1"/>
  </cols>
  <sheetData>
    <row r="1" ht="16.5" customHeight="1">
      <c r="A1" s="30" t="s">
        <v>152</v>
      </c>
      <c r="B1" s="27"/>
      <c r="C1" s="27"/>
      <c r="D1" s="27"/>
      <c r="E1" s="27"/>
      <c r="F1" s="27"/>
      <c r="G1" s="27"/>
      <c r="H1" s="28"/>
      <c r="O1" s="30" t="s">
        <v>152</v>
      </c>
      <c r="P1" s="27"/>
      <c r="Q1" s="27"/>
      <c r="R1" s="27"/>
      <c r="S1" s="27"/>
      <c r="T1" s="27"/>
      <c r="U1" s="27"/>
      <c r="V1" s="28"/>
    </row>
    <row r="2" ht="16.5" customHeight="1">
      <c r="A2" s="15" t="s">
        <v>135</v>
      </c>
      <c r="B2" s="10"/>
      <c r="C2" s="10"/>
      <c r="D2" s="10"/>
      <c r="E2" s="10"/>
      <c r="F2" s="10"/>
      <c r="G2" s="10"/>
      <c r="H2" s="10"/>
      <c r="O2" s="15" t="s">
        <v>135</v>
      </c>
      <c r="P2" s="10"/>
      <c r="Q2" s="10"/>
      <c r="R2" s="10"/>
      <c r="S2" s="10"/>
      <c r="T2" s="10"/>
      <c r="U2" s="10"/>
      <c r="V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136</v>
      </c>
      <c r="J3" s="9" t="s">
        <v>11</v>
      </c>
      <c r="K3" s="9" t="s">
        <v>12</v>
      </c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136</v>
      </c>
      <c r="X3" s="9" t="s">
        <v>11</v>
      </c>
      <c r="Y3" s="9" t="s">
        <v>12</v>
      </c>
    </row>
    <row r="4" ht="16.5" customHeight="1">
      <c r="A4" s="6" t="n">
        <v>20000</v>
      </c>
      <c r="B4" s="19" t="n">
        <v>0.4</v>
      </c>
      <c r="C4" s="7" t="n">
        <f>A4*B4/0.6</f>
        <v>13333.3333333333</v>
      </c>
      <c r="D4" s="76" t="n">
        <v>10</v>
      </c>
      <c r="E4" s="6" t="n">
        <f>A4*D4</f>
        <v>200000</v>
      </c>
      <c r="F4" s="11" t="n">
        <f>C4*D4</f>
        <v>133333.333333333</v>
      </c>
      <c r="G4" s="12" t="n">
        <f>D4/$B$15</f>
        <v>0.714285714285714</v>
      </c>
      <c r="H4" s="15" t="s">
        <v>153</v>
      </c>
      <c r="I4" s="15" t="s">
        <v>141</v>
      </c>
      <c r="J4" s="13"/>
      <c r="K4" s="13" t="n">
        <f>A4/5000</f>
        <v>4</v>
      </c>
      <c r="L4" s="13" t="n">
        <f>K4*D4</f>
        <v>40</v>
      </c>
      <c r="M4" s="32"/>
      <c r="O4" s="6" t="n">
        <v>20000</v>
      </c>
      <c r="P4" s="19" t="n">
        <v>0.4</v>
      </c>
      <c r="Q4" s="7" t="n">
        <f>O4*P4/0.6</f>
        <v>13333.3333333333</v>
      </c>
      <c r="R4" s="83" t="n">
        <v>12</v>
      </c>
      <c r="S4" s="6" t="n">
        <f>O4*R4</f>
        <v>240000</v>
      </c>
      <c r="T4" s="11" t="n">
        <f>Q4*R4</f>
        <v>160000</v>
      </c>
      <c r="U4" s="12" t="n">
        <f>R4/$P$15</f>
        <v>0.75</v>
      </c>
      <c r="V4" s="15" t="s">
        <v>153</v>
      </c>
      <c r="W4" s="5"/>
      <c r="X4" s="13"/>
      <c r="Y4" s="13" t="n">
        <f>O4/5000</f>
        <v>4</v>
      </c>
      <c r="Z4" s="13" t="n">
        <f>Y4*R4</f>
        <v>48</v>
      </c>
    </row>
    <row r="5" ht="16.5" customHeight="1">
      <c r="A5" s="6" t="n">
        <v>52000</v>
      </c>
      <c r="B5" s="19" t="n">
        <v>0.4</v>
      </c>
      <c r="C5" s="7" t="n">
        <f>A5*B5/0.6</f>
        <v>34666.6666666667</v>
      </c>
      <c r="D5" s="76" t="n">
        <v>4</v>
      </c>
      <c r="E5" s="6" t="n">
        <f>A5*D5</f>
        <v>208000</v>
      </c>
      <c r="F5" s="11" t="n">
        <f>C5*D5</f>
        <v>138666.666666667</v>
      </c>
      <c r="G5" s="12" t="n">
        <f>D5/$B$15</f>
        <v>0.285714285714286</v>
      </c>
      <c r="H5" s="15" t="s">
        <v>54</v>
      </c>
      <c r="I5" s="5" t="s">
        <v>144</v>
      </c>
      <c r="J5" s="13"/>
      <c r="K5" s="13" t="n">
        <f>A5/5000</f>
        <v>10.4</v>
      </c>
      <c r="L5" s="13" t="n">
        <f>K5*D5</f>
        <v>41.6</v>
      </c>
      <c r="O5" s="6" t="n">
        <v>52000</v>
      </c>
      <c r="P5" s="19" t="n">
        <v>0.4</v>
      </c>
      <c r="Q5" s="7" t="n">
        <f>O5*P5/0.6</f>
        <v>34666.6666666667</v>
      </c>
      <c r="R5" s="76" t="n">
        <v>4</v>
      </c>
      <c r="S5" s="6" t="n">
        <f>O5*R5</f>
        <v>208000</v>
      </c>
      <c r="T5" s="11" t="n">
        <f>Q5*R5</f>
        <v>138666.666666667</v>
      </c>
      <c r="U5" s="12" t="n">
        <f>R5/$P$15</f>
        <v>0.25</v>
      </c>
      <c r="V5" s="15" t="s">
        <v>54</v>
      </c>
      <c r="W5" s="78"/>
      <c r="X5" s="13"/>
      <c r="Y5" s="13" t="n">
        <f>O5/5000</f>
        <v>10.4</v>
      </c>
      <c r="Z5" s="13" t="n">
        <f>Y5*R5</f>
        <v>41.6</v>
      </c>
    </row>
    <row r="6" ht="16.5" customHeight="1">
      <c r="A6" s="6"/>
      <c r="B6" s="19" t="n">
        <v>0.4</v>
      </c>
      <c r="C6" s="7" t="n">
        <f>A6*B6/0.6</f>
        <v>0</v>
      </c>
      <c r="D6" s="20" t="n">
        <v>0</v>
      </c>
      <c r="E6" s="6" t="n">
        <f>A6*D6</f>
        <v>0</v>
      </c>
      <c r="F6" s="11" t="n">
        <f>C6*D6</f>
        <v>0</v>
      </c>
      <c r="G6" s="12" t="n">
        <f>D6/$B$15</f>
        <v>0</v>
      </c>
      <c r="H6" s="15"/>
      <c r="J6" s="13"/>
      <c r="K6" s="13" t="n">
        <f>A6/5000</f>
        <v>0</v>
      </c>
      <c r="L6" s="13" t="n">
        <f>K6*D6</f>
        <v>0</v>
      </c>
      <c r="O6" s="6"/>
      <c r="P6" s="19" t="n">
        <v>0.4</v>
      </c>
      <c r="Q6" s="7" t="n">
        <f>O6*P6/0.6</f>
        <v>0</v>
      </c>
      <c r="R6" s="20" t="n">
        <v>0</v>
      </c>
      <c r="S6" s="6" t="n">
        <f>O6*R6</f>
        <v>0</v>
      </c>
      <c r="T6" s="11" t="n">
        <f>Q6*R6</f>
        <v>0</v>
      </c>
      <c r="U6" s="12" t="n">
        <f>R6/$P$15</f>
        <v>0</v>
      </c>
      <c r="V6" s="15"/>
      <c r="X6" s="13"/>
      <c r="Y6" s="13" t="n">
        <f>O6/5000</f>
        <v>0</v>
      </c>
      <c r="Z6" s="13" t="n">
        <f>Y6*R6</f>
        <v>0</v>
      </c>
    </row>
    <row r="7" ht="16.5" customHeight="1">
      <c r="A7" s="6"/>
      <c r="B7" s="19" t="n">
        <v>0.4</v>
      </c>
      <c r="C7" s="7" t="n">
        <f>A7*B7/0.6</f>
        <v>0</v>
      </c>
      <c r="D7" s="20" t="n">
        <v>0</v>
      </c>
      <c r="E7" s="6" t="n">
        <f>A7*D7</f>
        <v>0</v>
      </c>
      <c r="F7" s="11" t="n">
        <f>C7*D7</f>
        <v>0</v>
      </c>
      <c r="G7" s="12" t="n">
        <f>D7/$B$15</f>
        <v>0</v>
      </c>
      <c r="H7" s="15"/>
      <c r="I7" s="5"/>
      <c r="J7" s="13"/>
      <c r="K7" s="13" t="n">
        <f>A7/5000</f>
        <v>0</v>
      </c>
      <c r="L7" s="13" t="n">
        <f>K7*D7</f>
        <v>0</v>
      </c>
      <c r="O7" s="6"/>
      <c r="P7" s="19" t="n">
        <v>0.4</v>
      </c>
      <c r="Q7" s="7" t="n">
        <f>O7*P7/0.6</f>
        <v>0</v>
      </c>
      <c r="R7" s="20" t="n">
        <v>0</v>
      </c>
      <c r="S7" s="6" t="n">
        <f>O7*R7</f>
        <v>0</v>
      </c>
      <c r="T7" s="11" t="n">
        <f>Q7*R7</f>
        <v>0</v>
      </c>
      <c r="U7" s="12" t="n">
        <f>R7/$P$15</f>
        <v>0</v>
      </c>
      <c r="V7" s="15"/>
      <c r="W7" s="5"/>
      <c r="X7" s="13"/>
      <c r="Y7" s="13" t="n">
        <f>O7/5000</f>
        <v>0</v>
      </c>
      <c r="Z7" s="13" t="n">
        <f>Y7*R7</f>
        <v>0</v>
      </c>
    </row>
    <row r="8" ht="16.5" customHeight="1">
      <c r="A8" s="6"/>
      <c r="B8" s="19" t="n">
        <v>0.4</v>
      </c>
      <c r="C8" s="7" t="n">
        <f>A8*B8/0.6</f>
        <v>0</v>
      </c>
      <c r="D8" s="20" t="n">
        <v>0</v>
      </c>
      <c r="E8" s="6" t="n">
        <f>A8*D8</f>
        <v>0</v>
      </c>
      <c r="F8" s="11" t="n">
        <f>C8*D8</f>
        <v>0</v>
      </c>
      <c r="G8" s="12" t="n">
        <f>D8/$B$15</f>
        <v>0</v>
      </c>
      <c r="H8" s="21"/>
      <c r="I8" s="5"/>
      <c r="J8" s="13"/>
      <c r="K8" s="13" t="n">
        <f>A8/5000</f>
        <v>0</v>
      </c>
      <c r="L8" s="13" t="n">
        <f>K8*D8</f>
        <v>0</v>
      </c>
      <c r="O8" s="6"/>
      <c r="P8" s="19" t="n">
        <v>0.4</v>
      </c>
      <c r="Q8" s="7" t="n">
        <f>O8*P8/0.6</f>
        <v>0</v>
      </c>
      <c r="R8" s="20" t="n">
        <v>0</v>
      </c>
      <c r="S8" s="6" t="n">
        <f>O8*R8</f>
        <v>0</v>
      </c>
      <c r="T8" s="11" t="n">
        <f>Q8*R8</f>
        <v>0</v>
      </c>
      <c r="U8" s="12" t="n">
        <f>R8/$P$15</f>
        <v>0</v>
      </c>
      <c r="V8" s="21"/>
      <c r="W8" s="5"/>
      <c r="X8" s="13"/>
      <c r="Y8" s="13" t="n">
        <f>O8/5000</f>
        <v>0</v>
      </c>
      <c r="Z8" s="13" t="n">
        <f>Y8*R8</f>
        <v>0</v>
      </c>
    </row>
    <row r="9" ht="16.5" customHeight="1">
      <c r="A9" s="6"/>
      <c r="B9" s="19" t="n">
        <v>0.4</v>
      </c>
      <c r="C9" s="7" t="n">
        <f>A9*B9/0.6</f>
        <v>0</v>
      </c>
      <c r="D9" s="20" t="n">
        <v>0</v>
      </c>
      <c r="E9" s="6" t="n">
        <f>A9*D9</f>
        <v>0</v>
      </c>
      <c r="F9" s="11" t="n">
        <f>C9*D9</f>
        <v>0</v>
      </c>
      <c r="G9" s="12" t="n">
        <f>D9/$B$15</f>
        <v>0</v>
      </c>
      <c r="H9" s="15"/>
      <c r="I9" s="5"/>
      <c r="J9" s="13"/>
      <c r="K9" s="13" t="n">
        <f>A9/5000</f>
        <v>0</v>
      </c>
      <c r="L9" s="13" t="n">
        <f>K9*D9</f>
        <v>0</v>
      </c>
      <c r="O9" s="6"/>
      <c r="P9" s="19" t="n">
        <v>0.4</v>
      </c>
      <c r="Q9" s="7" t="n">
        <f>O9*P9/0.6</f>
        <v>0</v>
      </c>
      <c r="R9" s="20" t="n">
        <v>0</v>
      </c>
      <c r="S9" s="6" t="n">
        <f>O9*R9</f>
        <v>0</v>
      </c>
      <c r="T9" s="11" t="n">
        <f>Q9*R9</f>
        <v>0</v>
      </c>
      <c r="U9" s="12" t="n">
        <f>R9/$P$15</f>
        <v>0</v>
      </c>
      <c r="V9" s="15"/>
      <c r="W9" s="5"/>
      <c r="X9" s="13"/>
      <c r="Y9" s="13" t="n">
        <f>O9/5000</f>
        <v>0</v>
      </c>
      <c r="Z9" s="13" t="n">
        <f>Y9*R9</f>
        <v>0</v>
      </c>
    </row>
    <row r="10" ht="16.5" customHeight="1">
      <c r="A10" s="6"/>
      <c r="B10" s="19" t="n">
        <v>0.4</v>
      </c>
      <c r="C10" s="7" t="n">
        <f>A10*B10/0.6</f>
        <v>0</v>
      </c>
      <c r="D10" s="20" t="n">
        <v>0</v>
      </c>
      <c r="E10" s="6" t="n">
        <f>A10*D10</f>
        <v>0</v>
      </c>
      <c r="F10" s="11" t="n">
        <f>C10*D10</f>
        <v>0</v>
      </c>
      <c r="G10" s="12" t="n">
        <f>D10/$B$15</f>
        <v>0</v>
      </c>
      <c r="H10" s="15"/>
      <c r="J10" s="13"/>
      <c r="K10" s="13" t="n">
        <f>A10/5000</f>
        <v>0</v>
      </c>
      <c r="L10" s="13" t="n">
        <f>K10*D10</f>
        <v>0</v>
      </c>
      <c r="O10" s="6"/>
      <c r="P10" s="19" t="n">
        <v>0.4</v>
      </c>
      <c r="Q10" s="7" t="n">
        <f>O10*P10/0.6</f>
        <v>0</v>
      </c>
      <c r="R10" s="20" t="n">
        <v>0</v>
      </c>
      <c r="S10" s="6" t="n">
        <f>O10*R10</f>
        <v>0</v>
      </c>
      <c r="T10" s="11" t="n">
        <f>Q10*R10</f>
        <v>0</v>
      </c>
      <c r="U10" s="12" t="n">
        <f>R10/$P$15</f>
        <v>0</v>
      </c>
      <c r="V10" s="15"/>
      <c r="X10" s="13"/>
      <c r="Y10" s="13" t="n">
        <f>O10/5000</f>
        <v>0</v>
      </c>
      <c r="Z10" s="13" t="n">
        <f>Y10*R10</f>
        <v>0</v>
      </c>
    </row>
    <row r="11" ht="16.5" customHeight="1">
      <c r="A11" s="6"/>
      <c r="B11" s="19" t="n">
        <v>0.4</v>
      </c>
      <c r="C11" s="7" t="n">
        <f>A11*B11/0.6</f>
        <v>0</v>
      </c>
      <c r="D11" s="20" t="n">
        <v>0</v>
      </c>
      <c r="E11" s="6" t="n">
        <f>A11*D11</f>
        <v>0</v>
      </c>
      <c r="F11" s="11" t="n">
        <f>C11*D11</f>
        <v>0</v>
      </c>
      <c r="G11" s="12" t="n">
        <f>D11/$B$15</f>
        <v>0</v>
      </c>
      <c r="H11" s="15"/>
      <c r="I11" s="5"/>
      <c r="J11" s="13" t="s">
        <v>43</v>
      </c>
      <c r="K11" s="13" t="n">
        <f>A11/5000</f>
        <v>0</v>
      </c>
      <c r="L11" s="13" t="n">
        <f>K11*D11</f>
        <v>0</v>
      </c>
      <c r="O11" s="6"/>
      <c r="P11" s="19" t="n">
        <v>0.4</v>
      </c>
      <c r="Q11" s="7" t="n">
        <f>O11*P11/0.6</f>
        <v>0</v>
      </c>
      <c r="R11" s="20" t="n">
        <v>0</v>
      </c>
      <c r="S11" s="6" t="n">
        <f>O11*R11</f>
        <v>0</v>
      </c>
      <c r="T11" s="11" t="n">
        <f>Q11*R11</f>
        <v>0</v>
      </c>
      <c r="U11" s="12" t="n">
        <f>R11/$P$15</f>
        <v>0</v>
      </c>
      <c r="V11" s="15"/>
      <c r="W11" s="5"/>
      <c r="X11" s="13" t="s">
        <v>43</v>
      </c>
      <c r="Y11" s="13" t="n">
        <f>O11/5000</f>
        <v>0</v>
      </c>
      <c r="Z11" s="13" t="n">
        <f>Y11*R11</f>
        <v>0</v>
      </c>
    </row>
    <row r="12" ht="16.5" customHeight="1">
      <c r="A12" s="6"/>
      <c r="B12" s="19" t="n">
        <v>0.4</v>
      </c>
      <c r="C12" s="7" t="n">
        <f>A12*B12/0.6</f>
        <v>0</v>
      </c>
      <c r="D12" s="20" t="n">
        <v>0</v>
      </c>
      <c r="E12" s="6" t="n">
        <f>A12*D12</f>
        <v>0</v>
      </c>
      <c r="F12" s="11" t="n">
        <f>C12*D12</f>
        <v>0</v>
      </c>
      <c r="G12" s="12" t="n">
        <f>D12/$B$15</f>
        <v>0</v>
      </c>
      <c r="H12" s="15"/>
      <c r="J12" s="13" t="s">
        <v>43</v>
      </c>
      <c r="K12" s="13" t="n">
        <f>A12/5000</f>
        <v>0</v>
      </c>
      <c r="L12" s="13" t="n">
        <f>K12*D12</f>
        <v>0</v>
      </c>
      <c r="O12" s="6"/>
      <c r="P12" s="19" t="n">
        <v>0.4</v>
      </c>
      <c r="Q12" s="7" t="n">
        <f>O12*P12/0.6</f>
        <v>0</v>
      </c>
      <c r="R12" s="20" t="n">
        <v>0</v>
      </c>
      <c r="S12" s="6" t="n">
        <f>O12*R12</f>
        <v>0</v>
      </c>
      <c r="T12" s="11" t="n">
        <f>Q12*R12</f>
        <v>0</v>
      </c>
      <c r="U12" s="12" t="n">
        <f>R12/$P$15</f>
        <v>0</v>
      </c>
      <c r="V12" s="15"/>
      <c r="X12" s="13" t="s">
        <v>43</v>
      </c>
      <c r="Y12" s="13" t="n">
        <f>O12/5000</f>
        <v>0</v>
      </c>
      <c r="Z12" s="13" t="n">
        <f>Y12*R12</f>
        <v>0</v>
      </c>
    </row>
    <row r="13" ht="16.5" customHeight="1">
      <c r="A13" s="6"/>
      <c r="B13" s="19" t="n">
        <v>0.4</v>
      </c>
      <c r="C13" s="7" t="n">
        <f>A13*B13/0.6</f>
        <v>0</v>
      </c>
      <c r="D13" s="20" t="n">
        <v>0</v>
      </c>
      <c r="E13" s="6" t="n">
        <f>A13*D13</f>
        <v>0</v>
      </c>
      <c r="F13" s="11" t="n">
        <f>C13*D13</f>
        <v>0</v>
      </c>
      <c r="G13" s="12" t="n">
        <f>D13/$B$15</f>
        <v>0</v>
      </c>
      <c r="H13" s="15"/>
      <c r="I13" s="5"/>
      <c r="J13" s="13" t="s">
        <v>43</v>
      </c>
      <c r="K13" s="13" t="n">
        <f>A13/5000</f>
        <v>0</v>
      </c>
      <c r="L13" s="13" t="n">
        <f>K13*D13</f>
        <v>0</v>
      </c>
      <c r="O13" s="6"/>
      <c r="P13" s="19" t="n">
        <v>0.4</v>
      </c>
      <c r="Q13" s="7" t="n">
        <f>O13*P13/0.6</f>
        <v>0</v>
      </c>
      <c r="R13" s="20" t="n">
        <v>0</v>
      </c>
      <c r="S13" s="6" t="n">
        <f>O13*R13</f>
        <v>0</v>
      </c>
      <c r="T13" s="11" t="n">
        <f>Q13*R13</f>
        <v>0</v>
      </c>
      <c r="U13" s="12" t="n">
        <f>R13/$P$15</f>
        <v>0</v>
      </c>
      <c r="V13" s="15"/>
      <c r="W13" s="5"/>
      <c r="X13" s="13" t="s">
        <v>43</v>
      </c>
      <c r="Y13" s="13" t="n">
        <f>O13/5000</f>
        <v>0</v>
      </c>
      <c r="Z13" s="13" t="n">
        <f>Y13*R13</f>
        <v>0</v>
      </c>
    </row>
    <row r="14" ht="16.5" customHeight="1">
      <c r="A14" s="17"/>
      <c r="B14" s="17"/>
      <c r="C14" s="17"/>
      <c r="D14" s="17"/>
      <c r="E14" s="17"/>
      <c r="F14" s="17"/>
      <c r="G14" s="17"/>
      <c r="H14" s="17"/>
      <c r="O14" s="17"/>
      <c r="P14" s="17"/>
      <c r="Q14" s="17"/>
      <c r="R14" s="17"/>
      <c r="S14" s="17"/>
      <c r="T14" s="17"/>
      <c r="U14" s="17"/>
      <c r="V14" s="17"/>
    </row>
    <row r="15" ht="16.5" customHeight="1">
      <c r="A15" s="22" t="s">
        <v>21</v>
      </c>
      <c r="B15" s="23" t="n">
        <f>SUM(D4:D13)</f>
        <v>14</v>
      </c>
      <c r="C15" s="24" t="s">
        <v>22</v>
      </c>
      <c r="D15" s="10"/>
      <c r="E15" s="31" t="n">
        <f>SUM(E4:E13)</f>
        <v>408000</v>
      </c>
      <c r="F15" s="39" t="s">
        <v>23</v>
      </c>
      <c r="G15" s="40"/>
      <c r="H15" s="41" t="n">
        <f>E15/E17</f>
        <v>1.45714285714286</v>
      </c>
      <c r="O15" s="22" t="s">
        <v>21</v>
      </c>
      <c r="P15" s="23" t="n">
        <f>SUM(R4:R13)</f>
        <v>16</v>
      </c>
      <c r="Q15" s="24" t="s">
        <v>22</v>
      </c>
      <c r="R15" s="10"/>
      <c r="S15" s="31" t="n">
        <f>SUM(S4:S13)</f>
        <v>448000</v>
      </c>
      <c r="T15" s="39" t="s">
        <v>23</v>
      </c>
      <c r="U15" s="40"/>
      <c r="V15" s="41" t="n">
        <f>S15/S17</f>
        <v>1.4</v>
      </c>
    </row>
    <row r="16" ht="16.5" customHeight="1">
      <c r="A16" s="22" t="s">
        <v>24</v>
      </c>
      <c r="B16" s="22" t="n">
        <v>20000</v>
      </c>
      <c r="C16" s="24" t="s">
        <v>25</v>
      </c>
      <c r="D16" s="10"/>
      <c r="E16" s="31" t="n">
        <f>SUM(F4:F13)</f>
        <v>272000</v>
      </c>
      <c r="F16" s="39" t="s">
        <v>26</v>
      </c>
      <c r="G16" s="40"/>
      <c r="H16" s="41" t="n">
        <f>E16/E17</f>
        <v>0.971428571428571</v>
      </c>
      <c r="O16" s="22" t="s">
        <v>24</v>
      </c>
      <c r="P16" s="22" t="n">
        <v>20000</v>
      </c>
      <c r="Q16" s="24" t="s">
        <v>25</v>
      </c>
      <c r="R16" s="10"/>
      <c r="S16" s="31" t="n">
        <f>SUM(T4:T13)</f>
        <v>298666.666666667</v>
      </c>
      <c r="T16" s="39" t="s">
        <v>26</v>
      </c>
      <c r="U16" s="40"/>
      <c r="V16" s="41" t="n">
        <f>S16/S17</f>
        <v>0.933333333333334</v>
      </c>
    </row>
    <row r="17" ht="16.5" customHeight="1">
      <c r="A17" s="15"/>
      <c r="B17" s="15"/>
      <c r="C17" s="24" t="s">
        <v>27</v>
      </c>
      <c r="D17" s="10"/>
      <c r="E17" s="8" t="n">
        <f>B15*B16</f>
        <v>280000</v>
      </c>
      <c r="F17" s="39" t="s">
        <v>28</v>
      </c>
      <c r="G17" s="40"/>
      <c r="H17" s="41" t="n">
        <f>E17/E16</f>
        <v>1.02941176470588</v>
      </c>
      <c r="O17" s="15"/>
      <c r="P17" s="15"/>
      <c r="Q17" s="24" t="s">
        <v>27</v>
      </c>
      <c r="R17" s="10"/>
      <c r="S17" s="8" t="n">
        <f>P15*P16</f>
        <v>320000</v>
      </c>
      <c r="T17" s="39" t="s">
        <v>28</v>
      </c>
      <c r="U17" s="40"/>
      <c r="V17" s="41" t="n">
        <f>S17/S16</f>
        <v>1.07142857142857</v>
      </c>
    </row>
    <row r="19" ht="16.5" customHeight="1">
      <c r="A19" s="9" t="s">
        <v>51</v>
      </c>
      <c r="B19" s="9" t="s">
        <v>154</v>
      </c>
      <c r="O19" s="9" t="s">
        <v>51</v>
      </c>
      <c r="P19" s="9" t="s">
        <v>154</v>
      </c>
    </row>
    <row r="20" ht="16.5" customHeight="1">
      <c r="A20" s="9" t="s">
        <v>64</v>
      </c>
      <c r="B20" s="9" t="s">
        <v>155</v>
      </c>
      <c r="O20" s="9" t="s">
        <v>64</v>
      </c>
      <c r="P20" s="9" t="s">
        <v>155</v>
      </c>
    </row>
    <row r="21" ht="16.5" customHeight="1">
      <c r="A21" s="9" t="s">
        <v>74</v>
      </c>
      <c r="B21" s="9" t="s">
        <v>155</v>
      </c>
      <c r="O21" s="9" t="s">
        <v>74</v>
      </c>
      <c r="P21" s="9" t="s">
        <v>155</v>
      </c>
    </row>
  </sheetData>
  <mergeCells count="16">
    <mergeCell ref="F15:G15"/>
    <mergeCell ref="F16:G16"/>
    <mergeCell ref="A1:H1"/>
    <mergeCell ref="A2:H2"/>
    <mergeCell ref="C15:D15"/>
    <mergeCell ref="C16:D16"/>
    <mergeCell ref="C17:D17"/>
    <mergeCell ref="F17:G17"/>
    <mergeCell ref="T15:U15"/>
    <mergeCell ref="T16:U16"/>
    <mergeCell ref="O1:V1"/>
    <mergeCell ref="O2:V2"/>
    <mergeCell ref="Q15:R15"/>
    <mergeCell ref="Q16:R16"/>
    <mergeCell ref="Q17:R17"/>
    <mergeCell ref="T17:U17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19.6728515625" customWidth="1"/>
    <col min="10" max="10" width="13.125" customWidth="1"/>
  </cols>
  <sheetData>
    <row r="1" ht="16.5" customHeight="1">
      <c r="A1" s="30" t="s">
        <v>156</v>
      </c>
      <c r="B1" s="27"/>
      <c r="C1" s="27"/>
      <c r="D1" s="27"/>
      <c r="E1" s="27"/>
      <c r="F1" s="27"/>
      <c r="G1" s="27"/>
      <c r="H1" s="28"/>
      <c r="O1" s="77" t="s">
        <v>156</v>
      </c>
      <c r="P1" s="79"/>
      <c r="Q1" s="79"/>
      <c r="R1" s="79"/>
      <c r="S1" s="79"/>
      <c r="T1" s="79"/>
      <c r="U1" s="79"/>
      <c r="V1" s="81"/>
    </row>
    <row r="2" ht="16.5" customHeight="1">
      <c r="A2" s="15" t="s">
        <v>135</v>
      </c>
      <c r="B2" s="10"/>
      <c r="C2" s="10"/>
      <c r="D2" s="10"/>
      <c r="E2" s="10"/>
      <c r="F2" s="10"/>
      <c r="G2" s="10"/>
      <c r="H2" s="10"/>
      <c r="O2" s="15" t="s">
        <v>135</v>
      </c>
      <c r="P2" s="10"/>
      <c r="Q2" s="10"/>
      <c r="R2" s="10"/>
      <c r="S2" s="10"/>
      <c r="T2" s="10"/>
      <c r="U2" s="10"/>
      <c r="V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136</v>
      </c>
      <c r="J3" s="9" t="s">
        <v>11</v>
      </c>
      <c r="K3" s="9" t="s">
        <v>12</v>
      </c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136</v>
      </c>
      <c r="X3" s="9" t="s">
        <v>11</v>
      </c>
      <c r="Y3" s="9" t="s">
        <v>12</v>
      </c>
    </row>
    <row r="4" ht="29.25" customHeight="1">
      <c r="A4" s="6" t="n">
        <v>100000</v>
      </c>
      <c r="B4" s="19" t="n">
        <v>0.4</v>
      </c>
      <c r="C4" s="7" t="n">
        <f>A4*B4/0.6</f>
        <v>66666.6666666667</v>
      </c>
      <c r="D4" s="20" t="n">
        <v>3</v>
      </c>
      <c r="E4" s="6" t="n">
        <f>A4*D4</f>
        <v>300000</v>
      </c>
      <c r="F4" s="11" t="n">
        <f>C4*D4</f>
        <v>200000</v>
      </c>
      <c r="G4" s="12" t="n">
        <f>D4/$B$16</f>
        <v>0.333333333333333</v>
      </c>
      <c r="H4" s="15" t="s">
        <v>57</v>
      </c>
      <c r="I4" s="21" t="s">
        <v>147</v>
      </c>
      <c r="J4" s="13"/>
      <c r="K4" s="13" t="n">
        <f>A4/5000</f>
        <v>20</v>
      </c>
      <c r="L4" s="13" t="n">
        <f>K4*D4</f>
        <v>60</v>
      </c>
      <c r="M4" s="32"/>
      <c r="O4" s="6" t="n">
        <v>100000</v>
      </c>
      <c r="P4" s="19" t="n">
        <v>0.4</v>
      </c>
      <c r="Q4" s="7" t="n">
        <f>O4*P4/0.6</f>
        <v>66666.6666666667</v>
      </c>
      <c r="R4" s="82" t="n">
        <v>4</v>
      </c>
      <c r="S4" s="6" t="n">
        <f>O4*R4</f>
        <v>400000</v>
      </c>
      <c r="T4" s="11" t="n">
        <f>Q4*R4</f>
        <v>266666.666666667</v>
      </c>
      <c r="U4" s="12" t="n">
        <f>R4/$P$16</f>
        <v>0.4</v>
      </c>
      <c r="V4" s="15" t="s">
        <v>57</v>
      </c>
      <c r="W4" s="80"/>
      <c r="X4" s="13"/>
      <c r="Y4" s="13" t="n">
        <f>O4/5000</f>
        <v>20</v>
      </c>
      <c r="Z4" s="13" t="n">
        <f>Y4*R4</f>
        <v>80</v>
      </c>
    </row>
    <row r="5" ht="16.5" customHeight="1">
      <c r="A5" s="6" t="n">
        <v>100000</v>
      </c>
      <c r="B5" s="19" t="n">
        <v>0.4</v>
      </c>
      <c r="C5" s="7" t="n">
        <f>A5*B5/0.6</f>
        <v>66666.6666666667</v>
      </c>
      <c r="D5" s="20" t="n">
        <v>2</v>
      </c>
      <c r="E5" s="6" t="n">
        <f>A5*D5</f>
        <v>200000</v>
      </c>
      <c r="F5" s="11" t="n">
        <f>C5*D5</f>
        <v>133333.333333333</v>
      </c>
      <c r="G5" s="12" t="n">
        <f>D5/$B$16</f>
        <v>0.222222222222222</v>
      </c>
      <c r="H5" s="15" t="s">
        <v>57</v>
      </c>
      <c r="I5" s="21" t="s">
        <v>157</v>
      </c>
      <c r="J5" s="13"/>
      <c r="K5" s="13"/>
      <c r="L5" s="13"/>
      <c r="O5" s="6" t="n">
        <v>100000</v>
      </c>
      <c r="P5" s="19" t="n">
        <v>0.4</v>
      </c>
      <c r="Q5" s="7" t="n">
        <f>O5*P5/0.6</f>
        <v>66666.6666666667</v>
      </c>
      <c r="R5" s="20" t="n">
        <v>2</v>
      </c>
      <c r="S5" s="6" t="n">
        <f>O5*R5</f>
        <v>200000</v>
      </c>
      <c r="T5" s="11" t="n">
        <f>Q5*R5</f>
        <v>133333.333333333</v>
      </c>
      <c r="U5" s="12" t="n">
        <f>R5/$P$16</f>
        <v>0.2</v>
      </c>
      <c r="V5" s="15" t="s">
        <v>57</v>
      </c>
      <c r="W5" s="80"/>
      <c r="X5" s="13"/>
      <c r="Y5" s="13"/>
      <c r="Z5" s="13"/>
    </row>
    <row r="6" ht="16.5" customHeight="1">
      <c r="A6" s="6" t="n">
        <v>200000</v>
      </c>
      <c r="B6" s="19" t="n">
        <v>0.4</v>
      </c>
      <c r="C6" s="7" t="n">
        <f>A6*B6/0.6</f>
        <v>133333.333333333</v>
      </c>
      <c r="D6" s="20" t="n">
        <v>4</v>
      </c>
      <c r="E6" s="6" t="n">
        <f>A6*D6</f>
        <v>800000</v>
      </c>
      <c r="F6" s="11" t="n">
        <f>C6*D6</f>
        <v>533333.333333332</v>
      </c>
      <c r="G6" s="12" t="n">
        <f>D6/$B$16</f>
        <v>0.444444444444444</v>
      </c>
      <c r="H6" s="15" t="s">
        <v>158</v>
      </c>
      <c r="I6" s="78" t="s">
        <v>159</v>
      </c>
      <c r="J6" s="13"/>
      <c r="K6" s="13" t="n">
        <f>A6/5000</f>
        <v>40</v>
      </c>
      <c r="L6" s="13" t="n">
        <f>K6*D6</f>
        <v>160</v>
      </c>
      <c r="O6" s="6" t="n">
        <v>200000</v>
      </c>
      <c r="P6" s="19" t="n">
        <v>0.4</v>
      </c>
      <c r="Q6" s="7" t="n">
        <f>O6*P6/0.6</f>
        <v>133333.333333333</v>
      </c>
      <c r="R6" s="20" t="n">
        <v>4</v>
      </c>
      <c r="S6" s="6" t="n">
        <f>O6*R6</f>
        <v>800000</v>
      </c>
      <c r="T6" s="11" t="n">
        <f>Q6*R6</f>
        <v>533333.333333332</v>
      </c>
      <c r="U6" s="12" t="n">
        <f>R6/$P$16</f>
        <v>0.4</v>
      </c>
      <c r="V6" s="15" t="s">
        <v>158</v>
      </c>
      <c r="W6" s="78"/>
      <c r="X6" s="13"/>
      <c r="Y6" s="13" t="n">
        <f>O6/5000</f>
        <v>40</v>
      </c>
      <c r="Z6" s="13" t="n">
        <f>Y6*R6</f>
        <v>160</v>
      </c>
    </row>
    <row r="7" ht="16.5" customHeight="1">
      <c r="A7" s="6"/>
      <c r="B7" s="19" t="n">
        <v>0.4</v>
      </c>
      <c r="C7" s="7" t="n">
        <f>A7*B7/0.6</f>
        <v>0</v>
      </c>
      <c r="D7" s="20" t="n">
        <v>0</v>
      </c>
      <c r="E7" s="6" t="n">
        <f>A7*D7</f>
        <v>0</v>
      </c>
      <c r="F7" s="11" t="n">
        <f>C7*D7</f>
        <v>0</v>
      </c>
      <c r="G7" s="12" t="n">
        <f>D7/$B$16</f>
        <v>0</v>
      </c>
      <c r="H7" s="15"/>
      <c r="J7" s="13"/>
      <c r="K7" s="13" t="n">
        <f>A7/5000</f>
        <v>0</v>
      </c>
      <c r="L7" s="13" t="n">
        <f>K7*D7</f>
        <v>0</v>
      </c>
      <c r="O7" s="6"/>
      <c r="P7" s="19" t="n">
        <v>0.4</v>
      </c>
      <c r="Q7" s="7" t="n">
        <f>O7*P7/0.6</f>
        <v>0</v>
      </c>
      <c r="R7" s="20" t="n">
        <v>0</v>
      </c>
      <c r="S7" s="6" t="n">
        <f>O7*R7</f>
        <v>0</v>
      </c>
      <c r="T7" s="11" t="n">
        <f>Q7*R7</f>
        <v>0</v>
      </c>
      <c r="U7" s="12" t="n">
        <f>R7/$B$16</f>
        <v>0</v>
      </c>
      <c r="V7" s="15"/>
      <c r="X7" s="13"/>
      <c r="Y7" s="13" t="n">
        <f>O7/5000</f>
        <v>0</v>
      </c>
      <c r="Z7" s="13" t="n">
        <f>Y7*R7</f>
        <v>0</v>
      </c>
    </row>
    <row r="8" ht="16.5" customHeight="1">
      <c r="A8" s="6"/>
      <c r="B8" s="19" t="n">
        <v>0.4</v>
      </c>
      <c r="C8" s="7" t="n">
        <f>A8*B8/0.6</f>
        <v>0</v>
      </c>
      <c r="D8" s="20" t="n">
        <v>0</v>
      </c>
      <c r="E8" s="6" t="n">
        <f>A8*D8</f>
        <v>0</v>
      </c>
      <c r="F8" s="11" t="n">
        <f>C8*D8</f>
        <v>0</v>
      </c>
      <c r="G8" s="12" t="n">
        <f>D8/$B$16</f>
        <v>0</v>
      </c>
      <c r="H8" s="15"/>
      <c r="I8" s="5"/>
      <c r="J8" s="13"/>
      <c r="K8" s="13" t="n">
        <f>A8/5000</f>
        <v>0</v>
      </c>
      <c r="L8" s="13" t="n">
        <f>K8*D8</f>
        <v>0</v>
      </c>
      <c r="O8" s="6"/>
      <c r="P8" s="19" t="n">
        <v>0.4</v>
      </c>
      <c r="Q8" s="7" t="n">
        <f>O8*P8/0.6</f>
        <v>0</v>
      </c>
      <c r="R8" s="20" t="n">
        <v>0</v>
      </c>
      <c r="S8" s="6" t="n">
        <f>O8*R8</f>
        <v>0</v>
      </c>
      <c r="T8" s="11" t="n">
        <f>Q8*R8</f>
        <v>0</v>
      </c>
      <c r="U8" s="12" t="n">
        <f>R8/$B$16</f>
        <v>0</v>
      </c>
      <c r="V8" s="15"/>
      <c r="W8" s="5"/>
      <c r="X8" s="13"/>
      <c r="Y8" s="13" t="n">
        <f>O8/5000</f>
        <v>0</v>
      </c>
      <c r="Z8" s="13" t="n">
        <f>Y8*R8</f>
        <v>0</v>
      </c>
    </row>
    <row r="9" ht="16.5" customHeight="1">
      <c r="A9" s="6"/>
      <c r="B9" s="19" t="n">
        <v>0.4</v>
      </c>
      <c r="C9" s="7" t="n">
        <f>A9*B9/0.6</f>
        <v>0</v>
      </c>
      <c r="D9" s="20" t="n">
        <v>0</v>
      </c>
      <c r="E9" s="6" t="n">
        <f>A9*D9</f>
        <v>0</v>
      </c>
      <c r="F9" s="11" t="n">
        <f>C9*D9</f>
        <v>0</v>
      </c>
      <c r="G9" s="12" t="n">
        <f>D9/$B$16</f>
        <v>0</v>
      </c>
      <c r="H9" s="21"/>
      <c r="I9" s="5"/>
      <c r="J9" s="13"/>
      <c r="K9" s="13" t="n">
        <f>A9/5000</f>
        <v>0</v>
      </c>
      <c r="L9" s="13" t="n">
        <f>K9*D9</f>
        <v>0</v>
      </c>
      <c r="O9" s="6"/>
      <c r="P9" s="19" t="n">
        <v>0.4</v>
      </c>
      <c r="Q9" s="7" t="n">
        <f>O9*P9/0.6</f>
        <v>0</v>
      </c>
      <c r="R9" s="20" t="n">
        <v>0</v>
      </c>
      <c r="S9" s="6" t="n">
        <f>O9*R9</f>
        <v>0</v>
      </c>
      <c r="T9" s="11" t="n">
        <f>Q9*R9</f>
        <v>0</v>
      </c>
      <c r="U9" s="12" t="n">
        <f>R9/$B$16</f>
        <v>0</v>
      </c>
      <c r="V9" s="21"/>
      <c r="W9" s="5"/>
      <c r="X9" s="13"/>
      <c r="Y9" s="13" t="n">
        <f>O9/5000</f>
        <v>0</v>
      </c>
      <c r="Z9" s="13" t="n">
        <f>Y9*R9</f>
        <v>0</v>
      </c>
    </row>
    <row r="10" ht="16.5" customHeight="1">
      <c r="A10" s="6"/>
      <c r="B10" s="19" t="n">
        <v>0.4</v>
      </c>
      <c r="C10" s="7" t="n">
        <f>A10*B10/0.6</f>
        <v>0</v>
      </c>
      <c r="D10" s="20" t="n">
        <v>0</v>
      </c>
      <c r="E10" s="6" t="n">
        <f>A10*D10</f>
        <v>0</v>
      </c>
      <c r="F10" s="11" t="n">
        <f>C10*D10</f>
        <v>0</v>
      </c>
      <c r="G10" s="12" t="n">
        <f>D10/$B$16</f>
        <v>0</v>
      </c>
      <c r="H10" s="15"/>
      <c r="I10" s="5"/>
      <c r="J10" s="13"/>
      <c r="K10" s="13" t="n">
        <f>A10/5000</f>
        <v>0</v>
      </c>
      <c r="L10" s="13" t="n">
        <f>K10*D10</f>
        <v>0</v>
      </c>
      <c r="O10" s="6"/>
      <c r="P10" s="19" t="n">
        <v>0.4</v>
      </c>
      <c r="Q10" s="7" t="n">
        <f>O10*P10/0.6</f>
        <v>0</v>
      </c>
      <c r="R10" s="20" t="n">
        <v>0</v>
      </c>
      <c r="S10" s="6" t="n">
        <f>O10*R10</f>
        <v>0</v>
      </c>
      <c r="T10" s="11" t="n">
        <f>Q10*R10</f>
        <v>0</v>
      </c>
      <c r="U10" s="12" t="n">
        <f>R10/$B$16</f>
        <v>0</v>
      </c>
      <c r="V10" s="15"/>
      <c r="W10" s="5"/>
      <c r="X10" s="13"/>
      <c r="Y10" s="13" t="n">
        <f>O10/5000</f>
        <v>0</v>
      </c>
      <c r="Z10" s="13" t="n">
        <f>Y10*R10</f>
        <v>0</v>
      </c>
    </row>
    <row r="11" ht="16.5" customHeight="1">
      <c r="A11" s="6"/>
      <c r="B11" s="19" t="n">
        <v>0.4</v>
      </c>
      <c r="C11" s="7" t="n">
        <f>A11*B11/0.6</f>
        <v>0</v>
      </c>
      <c r="D11" s="20" t="n">
        <v>0</v>
      </c>
      <c r="E11" s="6" t="n">
        <f>A11*D11</f>
        <v>0</v>
      </c>
      <c r="F11" s="11" t="n">
        <f>C11*D11</f>
        <v>0</v>
      </c>
      <c r="G11" s="12" t="n">
        <f>D11/$B$16</f>
        <v>0</v>
      </c>
      <c r="H11" s="15"/>
      <c r="J11" s="13"/>
      <c r="K11" s="13" t="n">
        <f>A11/5000</f>
        <v>0</v>
      </c>
      <c r="L11" s="13" t="n">
        <f>K11*D11</f>
        <v>0</v>
      </c>
      <c r="O11" s="6"/>
      <c r="P11" s="19" t="n">
        <v>0.4</v>
      </c>
      <c r="Q11" s="7" t="n">
        <f>O11*P11/0.6</f>
        <v>0</v>
      </c>
      <c r="R11" s="20" t="n">
        <v>0</v>
      </c>
      <c r="S11" s="6" t="n">
        <f>O11*R11</f>
        <v>0</v>
      </c>
      <c r="T11" s="11" t="n">
        <f>Q11*R11</f>
        <v>0</v>
      </c>
      <c r="U11" s="12" t="n">
        <f>R11/$B$16</f>
        <v>0</v>
      </c>
      <c r="V11" s="15"/>
      <c r="X11" s="13"/>
      <c r="Y11" s="13" t="n">
        <f>O11/5000</f>
        <v>0</v>
      </c>
      <c r="Z11" s="13" t="n">
        <f>Y11*R11</f>
        <v>0</v>
      </c>
    </row>
    <row r="12" ht="16.5" customHeight="1">
      <c r="A12" s="6"/>
      <c r="B12" s="19" t="n">
        <v>0.4</v>
      </c>
      <c r="C12" s="7" t="n">
        <f>A12*B12/0.6</f>
        <v>0</v>
      </c>
      <c r="D12" s="20" t="n">
        <v>0</v>
      </c>
      <c r="E12" s="6" t="n">
        <f>A12*D12</f>
        <v>0</v>
      </c>
      <c r="F12" s="11" t="n">
        <f>C12*D12</f>
        <v>0</v>
      </c>
      <c r="G12" s="12" t="n">
        <f>D12/$B$16</f>
        <v>0</v>
      </c>
      <c r="H12" s="15"/>
      <c r="I12" s="5"/>
      <c r="J12" s="13" t="s">
        <v>43</v>
      </c>
      <c r="K12" s="13" t="n">
        <f>A12/5000</f>
        <v>0</v>
      </c>
      <c r="L12" s="13" t="n">
        <f>K12*D12</f>
        <v>0</v>
      </c>
      <c r="O12" s="6"/>
      <c r="P12" s="19" t="n">
        <v>0.4</v>
      </c>
      <c r="Q12" s="7" t="n">
        <f>O12*P12/0.6</f>
        <v>0</v>
      </c>
      <c r="R12" s="20" t="n">
        <v>0</v>
      </c>
      <c r="S12" s="6" t="n">
        <f>O12*R12</f>
        <v>0</v>
      </c>
      <c r="T12" s="11" t="n">
        <f>Q12*R12</f>
        <v>0</v>
      </c>
      <c r="U12" s="12" t="n">
        <f>R12/$B$16</f>
        <v>0</v>
      </c>
      <c r="V12" s="15"/>
      <c r="W12" s="5"/>
      <c r="X12" s="13"/>
      <c r="Y12" s="13" t="n">
        <f>O12/5000</f>
        <v>0</v>
      </c>
      <c r="Z12" s="13" t="n">
        <f>Y12*R12</f>
        <v>0</v>
      </c>
    </row>
    <row r="13" ht="16.5" customHeight="1">
      <c r="A13" s="6"/>
      <c r="B13" s="19" t="n">
        <v>0.4</v>
      </c>
      <c r="C13" s="7" t="n">
        <f>A13*B13/0.6</f>
        <v>0</v>
      </c>
      <c r="D13" s="20" t="n">
        <v>0</v>
      </c>
      <c r="E13" s="6" t="n">
        <f>A13*D13</f>
        <v>0</v>
      </c>
      <c r="F13" s="11" t="n">
        <f>C13*D13</f>
        <v>0</v>
      </c>
      <c r="G13" s="12" t="n">
        <f>D13/$B$16</f>
        <v>0</v>
      </c>
      <c r="H13" s="15"/>
      <c r="J13" s="13" t="s">
        <v>43</v>
      </c>
      <c r="K13" s="13" t="n">
        <f>A13/5000</f>
        <v>0</v>
      </c>
      <c r="L13" s="13" t="n">
        <f>K13*D13</f>
        <v>0</v>
      </c>
      <c r="O13" s="6"/>
      <c r="P13" s="19" t="n">
        <v>0.4</v>
      </c>
      <c r="Q13" s="7" t="n">
        <f>O13*P13/0.6</f>
        <v>0</v>
      </c>
      <c r="R13" s="20" t="n">
        <v>0</v>
      </c>
      <c r="S13" s="6" t="n">
        <f>O13*R13</f>
        <v>0</v>
      </c>
      <c r="T13" s="11" t="n">
        <f>Q13*R13</f>
        <v>0</v>
      </c>
      <c r="U13" s="12" t="n">
        <f>R13/$B$16</f>
        <v>0</v>
      </c>
      <c r="V13" s="15"/>
      <c r="X13" s="13"/>
      <c r="Y13" s="13" t="n">
        <f>O13/5000</f>
        <v>0</v>
      </c>
      <c r="Z13" s="13" t="n">
        <f>Y13*R13</f>
        <v>0</v>
      </c>
    </row>
    <row r="14" ht="16.5" customHeight="1">
      <c r="A14" s="6"/>
      <c r="B14" s="19" t="n">
        <v>0.4</v>
      </c>
      <c r="C14" s="7" t="n">
        <f>A14*B14/0.6</f>
        <v>0</v>
      </c>
      <c r="D14" s="20" t="n">
        <v>0</v>
      </c>
      <c r="E14" s="6" t="n">
        <f>A14*D14</f>
        <v>0</v>
      </c>
      <c r="F14" s="11" t="n">
        <f>C14*D14</f>
        <v>0</v>
      </c>
      <c r="G14" s="12" t="n">
        <f>D14/$B$16</f>
        <v>0</v>
      </c>
      <c r="H14" s="15"/>
      <c r="I14" s="5"/>
      <c r="J14" s="13" t="s">
        <v>43</v>
      </c>
      <c r="K14" s="13" t="n">
        <f>A14/5000</f>
        <v>0</v>
      </c>
      <c r="L14" s="13" t="n">
        <f>K14*D14</f>
        <v>0</v>
      </c>
      <c r="O14" s="6"/>
      <c r="P14" s="19" t="n">
        <v>0.4</v>
      </c>
      <c r="Q14" s="7" t="n">
        <f>O14*P14/0.6</f>
        <v>0</v>
      </c>
      <c r="R14" s="20" t="n">
        <v>0</v>
      </c>
      <c r="S14" s="6" t="n">
        <f>O14*R14</f>
        <v>0</v>
      </c>
      <c r="T14" s="11" t="n">
        <f>Q14*R14</f>
        <v>0</v>
      </c>
      <c r="U14" s="12" t="n">
        <f>R14/$B$16</f>
        <v>0</v>
      </c>
      <c r="V14" s="15"/>
      <c r="W14" s="5"/>
      <c r="X14" s="13"/>
      <c r="Y14" s="13" t="n">
        <f>O14/5000</f>
        <v>0</v>
      </c>
      <c r="Z14" s="13" t="n">
        <f>Y14*R14</f>
        <v>0</v>
      </c>
    </row>
    <row r="15" ht="16.5" customHeight="1">
      <c r="A15" s="17"/>
      <c r="B15" s="17"/>
      <c r="C15" s="17"/>
      <c r="D15" s="17"/>
      <c r="E15" s="17"/>
      <c r="F15" s="17"/>
      <c r="G15" s="17"/>
      <c r="H15" s="17"/>
      <c r="O15" s="17"/>
      <c r="P15" s="17"/>
      <c r="Q15" s="17"/>
      <c r="R15" s="17"/>
      <c r="S15" s="17"/>
      <c r="T15" s="17"/>
      <c r="U15" s="17"/>
      <c r="V15" s="17"/>
    </row>
    <row r="16" ht="16.5" customHeight="1">
      <c r="A16" s="22" t="s">
        <v>21</v>
      </c>
      <c r="B16" s="23" t="n">
        <f>SUM(D4:D14)</f>
        <v>9</v>
      </c>
      <c r="C16" s="24" t="s">
        <v>22</v>
      </c>
      <c r="D16" s="10"/>
      <c r="E16" s="31" t="n">
        <f>SUM(E4:E14)</f>
        <v>1300000</v>
      </c>
      <c r="F16" s="39" t="s">
        <v>23</v>
      </c>
      <c r="G16" s="40"/>
      <c r="H16" s="41" t="n">
        <f>E16/E18</f>
        <v>1.44444444444444</v>
      </c>
      <c r="O16" s="22" t="s">
        <v>21</v>
      </c>
      <c r="P16" s="23" t="n">
        <f>SUM(R4:R14)</f>
        <v>10</v>
      </c>
      <c r="Q16" s="24" t="s">
        <v>22</v>
      </c>
      <c r="R16" s="10"/>
      <c r="S16" s="31" t="n">
        <f>SUM(S4:S14)</f>
        <v>1400000</v>
      </c>
      <c r="T16" s="39" t="s">
        <v>23</v>
      </c>
      <c r="U16" s="40"/>
      <c r="V16" s="41" t="n">
        <f>S16/S18</f>
        <v>1.4</v>
      </c>
    </row>
    <row r="17" ht="16.5" customHeight="1">
      <c r="A17" s="22" t="s">
        <v>24</v>
      </c>
      <c r="B17" s="22" t="n">
        <v>100000</v>
      </c>
      <c r="C17" s="24" t="s">
        <v>25</v>
      </c>
      <c r="D17" s="10"/>
      <c r="E17" s="31" t="n">
        <f>SUM(F4:F14)</f>
        <v>866666.666666665</v>
      </c>
      <c r="F17" s="39" t="s">
        <v>26</v>
      </c>
      <c r="G17" s="40"/>
      <c r="H17" s="41" t="n">
        <f>E17/E18</f>
        <v>0.962962962962961</v>
      </c>
      <c r="O17" s="22" t="s">
        <v>24</v>
      </c>
      <c r="P17" s="22" t="n">
        <v>100000</v>
      </c>
      <c r="Q17" s="24" t="s">
        <v>25</v>
      </c>
      <c r="R17" s="10"/>
      <c r="S17" s="31" t="n">
        <f>SUM(T4:T14)</f>
        <v>933333.333333332</v>
      </c>
      <c r="T17" s="39" t="s">
        <v>26</v>
      </c>
      <c r="U17" s="40"/>
      <c r="V17" s="41" t="n">
        <f>S17/S18</f>
        <v>0.933333333333332</v>
      </c>
    </row>
    <row r="18" ht="16.5" customHeight="1">
      <c r="A18" s="15"/>
      <c r="B18" s="15"/>
      <c r="C18" s="24" t="s">
        <v>27</v>
      </c>
      <c r="D18" s="10"/>
      <c r="E18" s="8" t="n">
        <f>B16*B17</f>
        <v>900000</v>
      </c>
      <c r="F18" s="39" t="s">
        <v>28</v>
      </c>
      <c r="G18" s="40"/>
      <c r="H18" s="41" t="n">
        <f>E18/E17</f>
        <v>1.03846153846154</v>
      </c>
      <c r="O18" s="15"/>
      <c r="P18" s="15"/>
      <c r="Q18" s="24" t="s">
        <v>27</v>
      </c>
      <c r="R18" s="10"/>
      <c r="S18" s="8" t="n">
        <f>P16*P17</f>
        <v>1000000</v>
      </c>
      <c r="T18" s="39" t="s">
        <v>28</v>
      </c>
      <c r="U18" s="40"/>
      <c r="V18" s="41" t="n">
        <f>S18/S17</f>
        <v>1.07142857142857</v>
      </c>
    </row>
    <row r="20" ht="16.5" customHeight="1">
      <c r="A20" s="9" t="s">
        <v>51</v>
      </c>
      <c r="B20" s="9" t="s">
        <v>160</v>
      </c>
      <c r="O20" s="9" t="s">
        <v>51</v>
      </c>
      <c r="P20" s="9" t="s">
        <v>160</v>
      </c>
    </row>
    <row r="21" ht="16.5" customHeight="1">
      <c r="A21" s="9" t="s">
        <v>64</v>
      </c>
      <c r="B21" s="9" t="s">
        <v>161</v>
      </c>
      <c r="O21" s="9" t="s">
        <v>64</v>
      </c>
      <c r="P21" s="9" t="s">
        <v>161</v>
      </c>
    </row>
    <row r="22" ht="16.5" customHeight="1">
      <c r="A22" s="9" t="s">
        <v>74</v>
      </c>
      <c r="B22" s="9" t="s">
        <v>161</v>
      </c>
      <c r="O22" s="9" t="s">
        <v>74</v>
      </c>
      <c r="P22" s="9" t="s">
        <v>161</v>
      </c>
    </row>
  </sheetData>
  <mergeCells count="16">
    <mergeCell ref="F16:G16"/>
    <mergeCell ref="F17:G17"/>
    <mergeCell ref="A1:H1"/>
    <mergeCell ref="A2:H2"/>
    <mergeCell ref="C16:D16"/>
    <mergeCell ref="C17:D17"/>
    <mergeCell ref="C18:D18"/>
    <mergeCell ref="F18:G18"/>
    <mergeCell ref="T16:U16"/>
    <mergeCell ref="T17:U17"/>
    <mergeCell ref="O1:V1"/>
    <mergeCell ref="O2:V2"/>
    <mergeCell ref="Q16:R16"/>
    <mergeCell ref="Q17:R17"/>
    <mergeCell ref="Q18:R18"/>
    <mergeCell ref="T18:U18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19.6728515625" customWidth="1"/>
    <col min="15" max="15" width="16.857421875" customWidth="1"/>
    <col min="21" max="21" width="19.6728515625" customWidth="1"/>
  </cols>
  <sheetData>
    <row r="1" ht="16.5" customHeight="1">
      <c r="A1" s="30" t="s">
        <v>162</v>
      </c>
      <c r="B1" s="27"/>
      <c r="C1" s="27"/>
      <c r="D1" s="27"/>
      <c r="E1" s="27"/>
      <c r="F1" s="27"/>
      <c r="G1" s="27"/>
      <c r="H1" s="28"/>
      <c r="N1" s="77" t="s">
        <v>29</v>
      </c>
      <c r="O1" s="79"/>
      <c r="P1" s="79"/>
      <c r="Q1" s="79"/>
      <c r="R1" s="79"/>
      <c r="S1" s="79"/>
      <c r="T1" s="79"/>
      <c r="U1" s="81"/>
    </row>
    <row r="2" ht="16.5" customHeight="1">
      <c r="A2" s="15" t="s">
        <v>86</v>
      </c>
      <c r="B2" s="10"/>
      <c r="C2" s="10"/>
      <c r="D2" s="10"/>
      <c r="E2" s="10"/>
      <c r="F2" s="10"/>
      <c r="G2" s="10"/>
      <c r="H2" s="10"/>
      <c r="N2" s="15" t="s">
        <v>30</v>
      </c>
      <c r="O2" s="10"/>
      <c r="P2" s="10"/>
      <c r="Q2" s="10"/>
      <c r="R2" s="10"/>
      <c r="S2" s="10"/>
      <c r="T2" s="10"/>
      <c r="U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N3" s="17" t="s">
        <v>2</v>
      </c>
      <c r="O3" s="15" t="s">
        <v>3</v>
      </c>
      <c r="P3" s="18" t="s">
        <v>4</v>
      </c>
      <c r="Q3" s="20" t="s">
        <v>5</v>
      </c>
      <c r="R3" s="17" t="s">
        <v>6</v>
      </c>
      <c r="S3" s="15" t="s">
        <v>7</v>
      </c>
      <c r="T3" s="15" t="s">
        <v>8</v>
      </c>
      <c r="U3" s="17" t="s">
        <v>9</v>
      </c>
      <c r="V3" s="9" t="s">
        <v>10</v>
      </c>
      <c r="W3" s="9" t="s">
        <v>11</v>
      </c>
      <c r="X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20" t="n">
        <v>1165</v>
      </c>
      <c r="E4" s="6" t="n">
        <f>A4*D4</f>
        <v>1165000</v>
      </c>
      <c r="F4" s="11" t="n">
        <f>C4*D4</f>
        <v>776666.666666667</v>
      </c>
      <c r="G4" s="12" t="n">
        <f>D4/$B$11</f>
        <v>0.672632794457275</v>
      </c>
      <c r="H4" s="15" t="s">
        <v>163</v>
      </c>
      <c r="I4" s="5"/>
      <c r="J4" s="13"/>
      <c r="K4" s="13" t="n">
        <v>4</v>
      </c>
      <c r="L4" s="13" t="n">
        <f>K4*D4</f>
        <v>4660</v>
      </c>
      <c r="M4" s="32"/>
      <c r="N4" s="6" t="n">
        <v>1000</v>
      </c>
      <c r="O4" s="19" t="n">
        <v>0.4</v>
      </c>
      <c r="P4" s="7" t="n">
        <f>N4*O4/0.6</f>
        <v>666.666666666667</v>
      </c>
      <c r="Q4" s="82" t="n">
        <v>1100</v>
      </c>
      <c r="R4" s="6" t="n">
        <f>N4*Q4</f>
        <v>1100000</v>
      </c>
      <c r="S4" s="11" t="n">
        <f>P4*Q4</f>
        <v>733333.333333334</v>
      </c>
      <c r="T4" s="12" t="n">
        <f>Q4/$O$11</f>
        <v>0.467687074829932</v>
      </c>
      <c r="U4" s="15" t="s">
        <v>31</v>
      </c>
      <c r="V4" s="5"/>
      <c r="W4" s="13"/>
      <c r="X4" s="13" t="n">
        <v>4</v>
      </c>
      <c r="Y4" s="13" t="n">
        <f>X4*Q4</f>
        <v>4400</v>
      </c>
    </row>
    <row r="5" ht="16.5" customHeight="1">
      <c r="A5" s="6" t="n">
        <v>20000</v>
      </c>
      <c r="B5" s="19" t="n">
        <v>0.4</v>
      </c>
      <c r="C5" s="7" t="n">
        <f>A5*B5/0.6</f>
        <v>13333.3333333333</v>
      </c>
      <c r="D5" s="20" t="n">
        <v>200</v>
      </c>
      <c r="E5" s="6" t="n">
        <f>A5*D5</f>
        <v>4000000</v>
      </c>
      <c r="F5" s="11" t="n">
        <f>C5*D5</f>
        <v>2666666.66666666</v>
      </c>
      <c r="G5" s="12" t="n">
        <f>D5/$B$11</f>
        <v>0.115473441108545</v>
      </c>
      <c r="H5" s="15" t="s">
        <v>141</v>
      </c>
      <c r="I5" s="35"/>
      <c r="J5" s="13"/>
      <c r="K5" s="13" t="n">
        <f>A5/5000</f>
        <v>4</v>
      </c>
      <c r="L5" s="13" t="n">
        <f>K5*D5</f>
        <v>800</v>
      </c>
      <c r="N5" s="6" t="n">
        <v>20000</v>
      </c>
      <c r="O5" s="19" t="n">
        <v>0.4</v>
      </c>
      <c r="P5" s="7" t="n">
        <f>N5*O5/0.6</f>
        <v>13333.3333333333</v>
      </c>
      <c r="Q5" s="20" t="n">
        <v>1080</v>
      </c>
      <c r="R5" s="6" t="n">
        <f>N5*Q5</f>
        <v>21600000</v>
      </c>
      <c r="S5" s="11" t="n">
        <f>P5*Q5</f>
        <v>14400000</v>
      </c>
      <c r="T5" s="12" t="n">
        <f>Q5/$O$11</f>
        <v>0.459183673469388</v>
      </c>
      <c r="U5" s="15" t="s">
        <v>34</v>
      </c>
      <c r="V5" s="35" t="s">
        <v>35</v>
      </c>
      <c r="W5" s="13"/>
      <c r="X5" s="13" t="n">
        <f>N5/5000</f>
        <v>4</v>
      </c>
      <c r="Y5" s="13" t="n">
        <f>X5*Q5</f>
        <v>4320</v>
      </c>
    </row>
    <row r="6" ht="16.5" customHeight="1">
      <c r="A6" s="6" t="n">
        <v>100000</v>
      </c>
      <c r="B6" s="19" t="n">
        <v>0.4</v>
      </c>
      <c r="C6" s="7" t="n">
        <f>A6*B6/0.6</f>
        <v>66666.6666666667</v>
      </c>
      <c r="D6" s="20" t="n">
        <v>360</v>
      </c>
      <c r="E6" s="6" t="n">
        <f>A6*D6</f>
        <v>36000000</v>
      </c>
      <c r="F6" s="11" t="n">
        <f>C6*D6</f>
        <v>24000000</v>
      </c>
      <c r="G6" s="12" t="n">
        <f>D6/$B$11</f>
        <v>0.207852193995381</v>
      </c>
      <c r="H6" s="21" t="s">
        <v>147</v>
      </c>
      <c r="I6" s="48"/>
      <c r="J6" s="13"/>
      <c r="K6" s="13" t="n">
        <f>A6/5000</f>
        <v>20</v>
      </c>
      <c r="L6" s="13" t="n">
        <f>K6*D6</f>
        <v>7200</v>
      </c>
      <c r="N6" s="6" t="n">
        <v>80000</v>
      </c>
      <c r="O6" s="19" t="n">
        <v>0.4</v>
      </c>
      <c r="P6" s="7" t="n">
        <f>N6*O6/0.6</f>
        <v>53333.3333333333</v>
      </c>
      <c r="Q6" s="20" t="n">
        <v>165</v>
      </c>
      <c r="R6" s="6" t="n">
        <f>N6*Q6</f>
        <v>13200000</v>
      </c>
      <c r="S6" s="11" t="n">
        <f>P6*Q6</f>
        <v>8799999.99999999</v>
      </c>
      <c r="T6" s="12" t="n">
        <f>Q6/$O$11</f>
        <v>0.0701530612244898</v>
      </c>
      <c r="U6" s="21" t="s">
        <v>37</v>
      </c>
      <c r="V6" s="48"/>
      <c r="W6" s="13"/>
      <c r="X6" s="13" t="n">
        <f>N6/5000</f>
        <v>16</v>
      </c>
      <c r="Y6" s="13" t="n">
        <f>X6*Q6</f>
        <v>2640</v>
      </c>
    </row>
    <row r="7" ht="16.5" customHeight="1">
      <c r="A7" s="6" t="n">
        <v>500000</v>
      </c>
      <c r="B7" s="19" t="n">
        <v>0.4</v>
      </c>
      <c r="C7" s="7" t="n">
        <f>A7*B7/0.6</f>
        <v>333333.333333333</v>
      </c>
      <c r="D7" s="20" t="n">
        <v>3</v>
      </c>
      <c r="E7" s="6" t="n">
        <f>A7*D7</f>
        <v>1500000</v>
      </c>
      <c r="F7" s="11" t="n">
        <f>C7*D7</f>
        <v>999999.999999999</v>
      </c>
      <c r="G7" s="12" t="n">
        <f>D7/$B$11</f>
        <v>0.00173210161662818</v>
      </c>
      <c r="H7" s="15" t="s">
        <v>150</v>
      </c>
      <c r="I7" s="35"/>
      <c r="J7" s="13"/>
      <c r="K7" s="13" t="n">
        <f>A7/5000</f>
        <v>100</v>
      </c>
      <c r="L7" s="13" t="n">
        <f>K7*D7</f>
        <v>300</v>
      </c>
      <c r="N7" s="6" t="n">
        <v>500000</v>
      </c>
      <c r="O7" s="19" t="n">
        <v>0.4</v>
      </c>
      <c r="P7" s="7" t="n">
        <f>N7*O7/0.6</f>
        <v>333333.333333333</v>
      </c>
      <c r="Q7" s="20" t="n">
        <v>3</v>
      </c>
      <c r="R7" s="6" t="n">
        <f>N7*Q7</f>
        <v>1500000</v>
      </c>
      <c r="S7" s="11" t="n">
        <f>P7*Q7</f>
        <v>999999.999999999</v>
      </c>
      <c r="T7" s="12" t="n">
        <f>Q7/$O$11</f>
        <v>0.00127551020408163</v>
      </c>
      <c r="U7" s="15" t="s">
        <v>40</v>
      </c>
      <c r="V7" s="35" t="s">
        <v>41</v>
      </c>
      <c r="W7" s="13"/>
      <c r="X7" s="13" t="n">
        <f>N7/5000</f>
        <v>100</v>
      </c>
      <c r="Y7" s="13" t="n">
        <f>X7*Q7</f>
        <v>300</v>
      </c>
    </row>
    <row r="8" ht="16.5" customHeight="1">
      <c r="A8" s="6" t="n">
        <v>1000000</v>
      </c>
      <c r="B8" s="19" t="n">
        <v>0.4</v>
      </c>
      <c r="C8" s="7" t="n">
        <f>A8*B8/0.6</f>
        <v>666666.666666667</v>
      </c>
      <c r="D8" s="36" t="n">
        <v>2</v>
      </c>
      <c r="E8" s="6" t="n">
        <f>A8*D8</f>
        <v>2000000</v>
      </c>
      <c r="F8" s="11" t="n">
        <f>C8*D8</f>
        <v>1333333.33333333</v>
      </c>
      <c r="G8" s="12" t="n">
        <f>D8/$B$11</f>
        <v>0.00115473441108545</v>
      </c>
      <c r="H8" s="15" t="s">
        <v>164</v>
      </c>
      <c r="I8" s="48"/>
      <c r="J8" s="13" t="s">
        <v>43</v>
      </c>
      <c r="K8" s="13" t="n">
        <f>A8/5000</f>
        <v>200</v>
      </c>
      <c r="L8" s="13" t="n">
        <f>K8*D8</f>
        <v>400</v>
      </c>
      <c r="N8" s="6" t="n">
        <v>1000000</v>
      </c>
      <c r="O8" s="19" t="n">
        <v>0.4</v>
      </c>
      <c r="P8" s="7" t="n">
        <f>N8*O8/0.6</f>
        <v>666666.666666667</v>
      </c>
      <c r="Q8" s="76" t="n">
        <v>2</v>
      </c>
      <c r="R8" s="6" t="n">
        <f>N8*Q8</f>
        <v>2000000</v>
      </c>
      <c r="S8" s="11" t="n">
        <f>P8*Q8</f>
        <v>1333333.33333333</v>
      </c>
      <c r="T8" s="12" t="n">
        <f>Q8/$O$11</f>
        <v>8.50340136054422e-4</v>
      </c>
      <c r="U8" s="15" t="s">
        <v>42</v>
      </c>
      <c r="V8" s="48"/>
      <c r="W8" s="13" t="s">
        <v>43</v>
      </c>
      <c r="X8" s="13" t="n">
        <f>N8/5000</f>
        <v>200</v>
      </c>
      <c r="Y8" s="13" t="n">
        <f>X8*Q8</f>
        <v>400</v>
      </c>
    </row>
    <row r="9" ht="16.5" customHeight="1">
      <c r="A9" s="6" t="n">
        <v>2000000</v>
      </c>
      <c r="B9" s="19" t="n">
        <v>0.4</v>
      </c>
      <c r="C9" s="7" t="n">
        <f>A9*B9/0.6</f>
        <v>1333333.33333333</v>
      </c>
      <c r="D9" s="36" t="n">
        <v>2</v>
      </c>
      <c r="E9" s="6" t="n">
        <f>A9*D9</f>
        <v>4000000</v>
      </c>
      <c r="F9" s="11" t="n">
        <f>C9*D9</f>
        <v>2666666.66666666</v>
      </c>
      <c r="G9" s="12" t="n">
        <f>D9/$B$11</f>
        <v>0.00115473441108545</v>
      </c>
      <c r="H9" s="15" t="s">
        <v>165</v>
      </c>
      <c r="I9" s="35"/>
      <c r="J9" s="13" t="s">
        <v>43</v>
      </c>
      <c r="K9" s="13" t="n">
        <f>A9/5000</f>
        <v>400</v>
      </c>
      <c r="L9" s="13" t="n">
        <f>K9*D9</f>
        <v>800</v>
      </c>
      <c r="N9" s="6" t="n">
        <v>2000000</v>
      </c>
      <c r="O9" s="19" t="n">
        <v>0.4</v>
      </c>
      <c r="P9" s="7" t="n">
        <f>N9*O9/0.6</f>
        <v>1333333.33333333</v>
      </c>
      <c r="Q9" s="76" t="n">
        <v>2</v>
      </c>
      <c r="R9" s="6" t="n">
        <f>N9*Q9</f>
        <v>4000000</v>
      </c>
      <c r="S9" s="11" t="n">
        <f>P9*Q9</f>
        <v>2666666.66666666</v>
      </c>
      <c r="T9" s="12" t="n">
        <f>Q9/$O$11</f>
        <v>8.50340136054422e-4</v>
      </c>
      <c r="U9" s="15" t="s">
        <v>44</v>
      </c>
      <c r="V9" s="35" t="s">
        <v>45</v>
      </c>
      <c r="W9" s="13" t="s">
        <v>43</v>
      </c>
      <c r="X9" s="13" t="n">
        <f>N9/5000</f>
        <v>400</v>
      </c>
      <c r="Y9" s="13" t="n">
        <f>X9*Q9</f>
        <v>800</v>
      </c>
    </row>
    <row r="10" ht="16.5" customHeight="1">
      <c r="A10" s="17"/>
      <c r="B10" s="17"/>
      <c r="C10" s="17"/>
      <c r="D10" s="17"/>
      <c r="E10" s="17"/>
      <c r="F10" s="17"/>
      <c r="G10" s="17"/>
      <c r="H10" s="17"/>
      <c r="N10" s="17"/>
      <c r="O10" s="17"/>
      <c r="P10" s="17"/>
      <c r="Q10" s="17"/>
      <c r="R10" s="17"/>
      <c r="S10" s="17"/>
      <c r="T10" s="17"/>
      <c r="U10" s="17"/>
    </row>
    <row r="11" ht="16.5" customHeight="1">
      <c r="A11" s="22" t="s">
        <v>21</v>
      </c>
      <c r="B11" s="23" t="n">
        <f>SUM(D4:D9)</f>
        <v>1732</v>
      </c>
      <c r="C11" s="24" t="s">
        <v>22</v>
      </c>
      <c r="D11" s="10"/>
      <c r="E11" s="31" t="n">
        <f>SUM(E4:E9)</f>
        <v>48665000</v>
      </c>
      <c r="F11" s="39" t="s">
        <v>23</v>
      </c>
      <c r="G11" s="40"/>
      <c r="H11" s="41" t="n">
        <f>E11/E13</f>
        <v>1.40487875288684</v>
      </c>
      <c r="N11" s="22" t="s">
        <v>21</v>
      </c>
      <c r="O11" s="23" t="n">
        <f>SUM(Q4:Q9)</f>
        <v>2352</v>
      </c>
      <c r="P11" s="24" t="s">
        <v>22</v>
      </c>
      <c r="Q11" s="10"/>
      <c r="R11" s="31" t="n">
        <f>SUM(R4:R9)</f>
        <v>43400000</v>
      </c>
      <c r="S11" s="39" t="s">
        <v>23</v>
      </c>
      <c r="T11" s="40"/>
      <c r="U11" s="41" t="n">
        <f>R11/R13</f>
        <v>0.922619047619048</v>
      </c>
    </row>
    <row r="12" ht="16.5" customHeight="1">
      <c r="A12" s="22" t="s">
        <v>24</v>
      </c>
      <c r="B12" s="22" t="n">
        <v>20000</v>
      </c>
      <c r="C12" s="24" t="s">
        <v>25</v>
      </c>
      <c r="D12" s="10"/>
      <c r="E12" s="31" t="n">
        <f>SUM(F4:F9)</f>
        <v>32443333.3333333</v>
      </c>
      <c r="F12" s="39" t="s">
        <v>26</v>
      </c>
      <c r="G12" s="40"/>
      <c r="H12" s="41" t="n">
        <f>E12/E13</f>
        <v>0.93658583525789</v>
      </c>
      <c r="N12" s="22" t="s">
        <v>24</v>
      </c>
      <c r="O12" s="22" t="n">
        <v>20000</v>
      </c>
      <c r="P12" s="24" t="s">
        <v>25</v>
      </c>
      <c r="Q12" s="10"/>
      <c r="R12" s="31" t="n">
        <f>SUM(S4:S9)</f>
        <v>28933333.3333333</v>
      </c>
      <c r="S12" s="39" t="s">
        <v>26</v>
      </c>
      <c r="T12" s="40"/>
      <c r="U12" s="41" t="n">
        <f>R12/R13</f>
        <v>0.615079365079364</v>
      </c>
    </row>
    <row r="13" ht="16.5" customHeight="1">
      <c r="A13" s="15"/>
      <c r="B13" s="15"/>
      <c r="C13" s="24" t="s">
        <v>27</v>
      </c>
      <c r="D13" s="10"/>
      <c r="E13" s="8" t="n">
        <f>B11*B12</f>
        <v>34640000</v>
      </c>
      <c r="F13" s="39" t="s">
        <v>28</v>
      </c>
      <c r="G13" s="40"/>
      <c r="H13" s="41" t="n">
        <f>E13/E12</f>
        <v>1.06770779821227</v>
      </c>
      <c r="N13" s="15"/>
      <c r="O13" s="15"/>
      <c r="P13" s="24" t="s">
        <v>27</v>
      </c>
      <c r="Q13" s="10"/>
      <c r="R13" s="8" t="n">
        <f>O11*O12</f>
        <v>47040000</v>
      </c>
      <c r="S13" s="39" t="s">
        <v>28</v>
      </c>
      <c r="T13" s="40"/>
      <c r="U13" s="41" t="n">
        <f>R13/R12</f>
        <v>1.62580645161291</v>
      </c>
    </row>
    <row r="15" ht="16.5" customHeight="1">
      <c r="A15" s="9" t="s">
        <v>51</v>
      </c>
      <c r="B15" s="9" t="s">
        <v>166</v>
      </c>
    </row>
    <row r="16" ht="16.5" customHeight="1">
      <c r="A16" s="9" t="s">
        <v>64</v>
      </c>
      <c r="B16" s="9" t="s">
        <v>166</v>
      </c>
    </row>
    <row r="17" ht="16.5" customHeight="1">
      <c r="A17" s="9" t="s">
        <v>74</v>
      </c>
      <c r="B17" s="9" t="s">
        <v>160</v>
      </c>
    </row>
    <row r="18" ht="16.5" customHeight="1">
      <c r="A18" s="9" t="s">
        <v>77</v>
      </c>
      <c r="B18" s="9" t="s">
        <v>160</v>
      </c>
    </row>
    <row r="19" ht="16.5" customHeight="1">
      <c r="A19" s="9" t="s">
        <v>125</v>
      </c>
      <c r="B19" s="9" t="s">
        <v>160</v>
      </c>
    </row>
    <row r="25" ht="16.5" customHeight="1">
      <c r="C25" s="9" t="s">
        <v>167</v>
      </c>
    </row>
  </sheetData>
  <mergeCells count="16">
    <mergeCell ref="S11:T11"/>
    <mergeCell ref="S12:T12"/>
    <mergeCell ref="N1:U1"/>
    <mergeCell ref="N2:U2"/>
    <mergeCell ref="P11:Q11"/>
    <mergeCell ref="P12:Q12"/>
    <mergeCell ref="P13:Q13"/>
    <mergeCell ref="S13:T13"/>
    <mergeCell ref="F11:G11"/>
    <mergeCell ref="F12:G12"/>
    <mergeCell ref="A1:H1"/>
    <mergeCell ref="A2:H2"/>
    <mergeCell ref="C11:D11"/>
    <mergeCell ref="C12:D12"/>
    <mergeCell ref="C13:D13"/>
    <mergeCell ref="F13:G1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27.251953125" customWidth="1"/>
  </cols>
  <sheetData>
    <row r="1" ht="16.5" customHeight="1">
      <c r="A1" s="30" t="s">
        <v>85</v>
      </c>
      <c r="B1" s="27"/>
      <c r="C1" s="27"/>
      <c r="D1" s="27"/>
      <c r="E1" s="27"/>
      <c r="F1" s="27"/>
      <c r="G1" s="27"/>
      <c r="H1" s="28"/>
      <c r="O1" s="77" t="s">
        <v>85</v>
      </c>
      <c r="P1" s="79"/>
      <c r="Q1" s="79"/>
      <c r="R1" s="79"/>
      <c r="S1" s="79"/>
      <c r="T1" s="79"/>
      <c r="U1" s="79"/>
      <c r="V1" s="81"/>
    </row>
    <row r="2" ht="16.5" customHeight="1">
      <c r="A2" s="15" t="s">
        <v>86</v>
      </c>
      <c r="B2" s="10"/>
      <c r="C2" s="10"/>
      <c r="D2" s="10"/>
      <c r="E2" s="10"/>
      <c r="F2" s="10"/>
      <c r="G2" s="10"/>
      <c r="H2" s="10"/>
      <c r="O2" s="15" t="s">
        <v>86</v>
      </c>
      <c r="P2" s="10"/>
      <c r="Q2" s="10"/>
      <c r="R2" s="10"/>
      <c r="S2" s="10"/>
      <c r="T2" s="10"/>
      <c r="U2" s="10"/>
      <c r="V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168</v>
      </c>
      <c r="J3" s="9" t="s">
        <v>11</v>
      </c>
      <c r="K3" s="9" t="s">
        <v>12</v>
      </c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168</v>
      </c>
      <c r="X3" s="9" t="s">
        <v>11</v>
      </c>
      <c r="Y3" s="9" t="s">
        <v>12</v>
      </c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82" t="n">
        <v>265</v>
      </c>
      <c r="E4" s="6" t="n">
        <f>A4*D4</f>
        <v>265000</v>
      </c>
      <c r="F4" s="11" t="n">
        <f>C4*D4</f>
        <v>176666.666666667</v>
      </c>
      <c r="G4" s="12" t="n">
        <f>D4/$B$15</f>
        <v>0.577342047930283</v>
      </c>
      <c r="H4" s="15" t="s">
        <v>31</v>
      </c>
      <c r="I4" s="35" t="s">
        <v>169</v>
      </c>
      <c r="J4" s="13"/>
      <c r="K4" s="13" t="n">
        <v>4</v>
      </c>
      <c r="L4" s="13" t="n">
        <f>K4*D4</f>
        <v>1060</v>
      </c>
      <c r="M4" s="32"/>
      <c r="O4" s="6" t="n">
        <v>1000</v>
      </c>
      <c r="P4" s="19" t="n">
        <v>0.4</v>
      </c>
      <c r="Q4" s="7" t="n">
        <f>O4*P4/0.6</f>
        <v>666.666666666667</v>
      </c>
      <c r="R4" s="82" t="n">
        <v>284</v>
      </c>
      <c r="S4" s="6" t="n">
        <f>O4*R4</f>
        <v>284000</v>
      </c>
      <c r="T4" s="11" t="n">
        <f>Q4*R4</f>
        <v>189333.333333333</v>
      </c>
      <c r="U4" s="12" t="n">
        <f>R4/$P$15</f>
        <v>0.594142259414226</v>
      </c>
      <c r="V4" s="15" t="s">
        <v>31</v>
      </c>
      <c r="W4" s="35"/>
      <c r="X4" s="13"/>
      <c r="Y4" s="13" t="n">
        <v>4</v>
      </c>
      <c r="Z4" s="13" t="n">
        <f>Y4*R4</f>
        <v>1136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100</v>
      </c>
      <c r="E5" s="6" t="n">
        <f>A5*D5</f>
        <v>1000000</v>
      </c>
      <c r="F5" s="11" t="n">
        <f>C5*D5</f>
        <v>666666.666666667</v>
      </c>
      <c r="G5" s="12" t="n">
        <f>D5/$B$15</f>
        <v>0.217864923747277</v>
      </c>
      <c r="H5" s="15" t="s">
        <v>87</v>
      </c>
      <c r="I5" s="35" t="s">
        <v>170</v>
      </c>
      <c r="J5" s="13"/>
      <c r="K5" s="13" t="n">
        <f>A5/5000</f>
        <v>2</v>
      </c>
      <c r="L5" s="13" t="n">
        <f>K5*D5</f>
        <v>200</v>
      </c>
      <c r="O5" s="6" t="n">
        <v>10000</v>
      </c>
      <c r="P5" s="19" t="n">
        <v>0.4</v>
      </c>
      <c r="Q5" s="7" t="n">
        <f>O5*P5/0.6</f>
        <v>6666.66666666667</v>
      </c>
      <c r="R5" s="20" t="n">
        <v>100</v>
      </c>
      <c r="S5" s="6" t="n">
        <f>O5*R5</f>
        <v>1000000</v>
      </c>
      <c r="T5" s="11" t="n">
        <f>Q5*R5</f>
        <v>666666.666666667</v>
      </c>
      <c r="U5" s="12" t="n">
        <f>R5/$P$15</f>
        <v>0.209205020920502</v>
      </c>
      <c r="V5" s="15" t="s">
        <v>87</v>
      </c>
      <c r="W5" s="35"/>
      <c r="X5" s="13"/>
      <c r="Y5" s="13" t="n">
        <f>O5/5000</f>
        <v>2</v>
      </c>
      <c r="Z5" s="13" t="n">
        <f>Y5*R5</f>
        <v>200</v>
      </c>
    </row>
    <row r="6" ht="16.5" customHeight="1">
      <c r="A6" s="6" t="n">
        <v>52000</v>
      </c>
      <c r="B6" s="19" t="n">
        <v>0.4</v>
      </c>
      <c r="C6" s="7" t="n">
        <f>A6*B6/0.6</f>
        <v>34666.6666666667</v>
      </c>
      <c r="D6" s="20" t="n">
        <v>50</v>
      </c>
      <c r="E6" s="6" t="n">
        <f>A6*D6</f>
        <v>2600000</v>
      </c>
      <c r="F6" s="11" t="n">
        <f>C6*D6</f>
        <v>1733333.33333334</v>
      </c>
      <c r="G6" s="12" t="n">
        <f>D6/$B$15</f>
        <v>0.108932461873638</v>
      </c>
      <c r="H6" s="21" t="s">
        <v>54</v>
      </c>
      <c r="I6" s="48" t="s">
        <v>171</v>
      </c>
      <c r="J6" s="13"/>
      <c r="K6" s="13" t="n">
        <f>A6/5000</f>
        <v>10.4</v>
      </c>
      <c r="L6" s="13" t="n">
        <f>K6*D6</f>
        <v>520</v>
      </c>
      <c r="O6" s="6" t="n">
        <v>52000</v>
      </c>
      <c r="P6" s="19" t="n">
        <v>0.4</v>
      </c>
      <c r="Q6" s="7" t="n">
        <f>O6*P6/0.6</f>
        <v>34666.6666666667</v>
      </c>
      <c r="R6" s="20" t="n">
        <v>50</v>
      </c>
      <c r="S6" s="6" t="n">
        <f>O6*R6</f>
        <v>2600000</v>
      </c>
      <c r="T6" s="11" t="n">
        <f>Q6*R6</f>
        <v>1733333.33333334</v>
      </c>
      <c r="U6" s="12" t="n">
        <f>R6/$P$15</f>
        <v>0.104602510460251</v>
      </c>
      <c r="V6" s="21" t="s">
        <v>54</v>
      </c>
      <c r="W6" s="48"/>
      <c r="X6" s="13"/>
      <c r="Y6" s="13" t="n">
        <f>O6/5000</f>
        <v>10.4</v>
      </c>
      <c r="Z6" s="13" t="n">
        <f>Y6*R6</f>
        <v>520</v>
      </c>
    </row>
    <row r="7" ht="16.5" customHeight="1">
      <c r="A7" s="6" t="n">
        <v>100000</v>
      </c>
      <c r="B7" s="19" t="n">
        <v>0.4</v>
      </c>
      <c r="C7" s="7" t="n">
        <f>A7*B7/0.6</f>
        <v>66666.6666666667</v>
      </c>
      <c r="D7" s="20" t="n">
        <v>20</v>
      </c>
      <c r="E7" s="6" t="n">
        <f>A7*D7</f>
        <v>2000000</v>
      </c>
      <c r="F7" s="11" t="n">
        <f>C7*D7</f>
        <v>1333333.33333333</v>
      </c>
      <c r="G7" s="12" t="n">
        <f>D7/$B$15</f>
        <v>0.0435729847494553</v>
      </c>
      <c r="H7" s="15" t="s">
        <v>56</v>
      </c>
      <c r="I7" s="48" t="s">
        <v>172</v>
      </c>
      <c r="J7" s="13"/>
      <c r="K7" s="13" t="n">
        <f>A7/5000</f>
        <v>20</v>
      </c>
      <c r="L7" s="13" t="n">
        <f>K7*D7</f>
        <v>400</v>
      </c>
      <c r="O7" s="6" t="n">
        <v>100000</v>
      </c>
      <c r="P7" s="19" t="n">
        <v>0.4</v>
      </c>
      <c r="Q7" s="7" t="n">
        <f>O7*P7/0.6</f>
        <v>66666.6666666667</v>
      </c>
      <c r="R7" s="20" t="n">
        <v>20</v>
      </c>
      <c r="S7" s="6" t="n">
        <f>O7*R7</f>
        <v>2000000</v>
      </c>
      <c r="T7" s="11" t="n">
        <f>Q7*R7</f>
        <v>1333333.33333333</v>
      </c>
      <c r="U7" s="12" t="n">
        <f>R7/$P$15</f>
        <v>0.0418410041841004</v>
      </c>
      <c r="V7" s="15" t="s">
        <v>56</v>
      </c>
      <c r="W7" s="48"/>
      <c r="X7" s="13"/>
      <c r="Y7" s="13" t="n">
        <f>O7/5000</f>
        <v>20</v>
      </c>
      <c r="Z7" s="13" t="n">
        <f>Y7*R7</f>
        <v>400</v>
      </c>
    </row>
    <row r="8" ht="16.5" customHeight="1">
      <c r="A8" s="6" t="n">
        <v>100000</v>
      </c>
      <c r="B8" s="19" t="n">
        <v>0.4</v>
      </c>
      <c r="C8" s="7" t="n">
        <f>A8*B8/0.6</f>
        <v>66666.6666666667</v>
      </c>
      <c r="D8" s="20" t="n">
        <v>20</v>
      </c>
      <c r="E8" s="6" t="n">
        <f>A8*D8</f>
        <v>2000000</v>
      </c>
      <c r="F8" s="11" t="n">
        <f>C8*D8</f>
        <v>1333333.33333333</v>
      </c>
      <c r="G8" s="12" t="n">
        <f>D8/$B$15</f>
        <v>0.0435729847494553</v>
      </c>
      <c r="H8" s="15" t="s">
        <v>57</v>
      </c>
      <c r="I8" s="48" t="s">
        <v>172</v>
      </c>
      <c r="J8" s="13"/>
      <c r="K8" s="13" t="n">
        <f>A8/5000</f>
        <v>20</v>
      </c>
      <c r="L8" s="13" t="n">
        <f>K8*D8</f>
        <v>400</v>
      </c>
      <c r="O8" s="6" t="n">
        <v>100000</v>
      </c>
      <c r="P8" s="19" t="n">
        <v>0.4</v>
      </c>
      <c r="Q8" s="7" t="n">
        <f>O8*P8/0.6</f>
        <v>66666.6666666667</v>
      </c>
      <c r="R8" s="20" t="n">
        <v>20</v>
      </c>
      <c r="S8" s="6" t="n">
        <f>O8*R8</f>
        <v>2000000</v>
      </c>
      <c r="T8" s="11" t="n">
        <f>Q8*R8</f>
        <v>1333333.33333333</v>
      </c>
      <c r="U8" s="12" t="n">
        <f>R8/$P$15</f>
        <v>0.0418410041841004</v>
      </c>
      <c r="V8" s="15" t="s">
        <v>57</v>
      </c>
      <c r="W8" s="48"/>
      <c r="X8" s="13"/>
      <c r="Y8" s="13" t="n">
        <f>O8/5000</f>
        <v>20</v>
      </c>
      <c r="Z8" s="13" t="n">
        <f>Y8*R8</f>
        <v>400</v>
      </c>
    </row>
    <row r="9" ht="16.5" customHeight="1">
      <c r="A9" s="6" t="n">
        <v>520000</v>
      </c>
      <c r="B9" s="19" t="n">
        <v>0.4</v>
      </c>
      <c r="C9" s="7" t="n">
        <f>A9*B9/0.6</f>
        <v>346666.666666667</v>
      </c>
      <c r="D9" s="20" t="n">
        <v>2</v>
      </c>
      <c r="E9" s="6" t="n">
        <f>A9*D9</f>
        <v>1040000</v>
      </c>
      <c r="F9" s="11" t="n">
        <f>C9*D9</f>
        <v>693333.333333334</v>
      </c>
      <c r="G9" s="12" t="n">
        <f>D9/$B$15</f>
        <v>0.00435729847494553</v>
      </c>
      <c r="H9" s="15" t="s">
        <v>88</v>
      </c>
      <c r="I9" s="48" t="s">
        <v>173</v>
      </c>
      <c r="J9" s="13"/>
      <c r="K9" s="13" t="n">
        <f>A9/5000</f>
        <v>104</v>
      </c>
      <c r="L9" s="13" t="n">
        <f>K9*D9</f>
        <v>208</v>
      </c>
      <c r="O9" s="6" t="n">
        <v>520000</v>
      </c>
      <c r="P9" s="19" t="n">
        <v>0.4</v>
      </c>
      <c r="Q9" s="7" t="n">
        <f>O9*P9/0.6</f>
        <v>346666.666666667</v>
      </c>
      <c r="R9" s="20" t="n">
        <v>2</v>
      </c>
      <c r="S9" s="6" t="n">
        <f>O9*R9</f>
        <v>1040000</v>
      </c>
      <c r="T9" s="11" t="n">
        <f>Q9*R9</f>
        <v>693333.333333334</v>
      </c>
      <c r="U9" s="12" t="n">
        <f>R9/$P$15</f>
        <v>0.00418410041841004</v>
      </c>
      <c r="V9" s="15" t="s">
        <v>88</v>
      </c>
      <c r="W9" s="48"/>
      <c r="X9" s="13"/>
      <c r="Y9" s="13" t="n">
        <f>O9/5000</f>
        <v>104</v>
      </c>
      <c r="Z9" s="13" t="n">
        <f>Y9*R9</f>
        <v>208</v>
      </c>
    </row>
    <row r="10" ht="16.5" customHeight="1">
      <c r="A10" s="6" t="n">
        <v>2000000</v>
      </c>
      <c r="B10" s="19" t="n">
        <v>0.4</v>
      </c>
      <c r="C10" s="7" t="n">
        <f>A10*B10/0.6</f>
        <v>1333333.33333333</v>
      </c>
      <c r="D10" s="20" t="n">
        <v>2</v>
      </c>
      <c r="E10" s="6" t="n">
        <f>A10*D10</f>
        <v>4000000</v>
      </c>
      <c r="F10" s="11" t="n">
        <f>C10*D10</f>
        <v>2666666.66666666</v>
      </c>
      <c r="G10" s="12" t="n">
        <f>D10/$B$15</f>
        <v>0.00435729847494553</v>
      </c>
      <c r="H10" s="15" t="s">
        <v>89</v>
      </c>
      <c r="I10" s="35" t="s">
        <v>174</v>
      </c>
      <c r="J10" s="13" t="s">
        <v>43</v>
      </c>
      <c r="K10" s="13" t="n">
        <f>A10/5000</f>
        <v>400</v>
      </c>
      <c r="L10" s="13" t="n">
        <f>K10*D10</f>
        <v>800</v>
      </c>
      <c r="O10" s="6" t="n">
        <v>2000000</v>
      </c>
      <c r="P10" s="19" t="n">
        <v>0.4</v>
      </c>
      <c r="Q10" s="7" t="n">
        <f>O10*P10/0.6</f>
        <v>1333333.33333333</v>
      </c>
      <c r="R10" s="20" t="n">
        <v>2</v>
      </c>
      <c r="S10" s="6" t="n">
        <f>O10*R10</f>
        <v>4000000</v>
      </c>
      <c r="T10" s="11" t="n">
        <f>Q10*R10</f>
        <v>2666666.66666666</v>
      </c>
      <c r="U10" s="12" t="n">
        <f>R10/$P$15</f>
        <v>0.00418410041841004</v>
      </c>
      <c r="V10" s="15" t="s">
        <v>89</v>
      </c>
      <c r="W10" s="35"/>
      <c r="X10" s="13" t="s">
        <v>43</v>
      </c>
      <c r="Y10" s="13" t="n">
        <f>O10/5000</f>
        <v>400</v>
      </c>
      <c r="Z10" s="13" t="n">
        <f>Y10*R10</f>
        <v>800</v>
      </c>
    </row>
    <row r="11" ht="16.5" customHeight="1">
      <c r="A11" s="6"/>
      <c r="B11" s="19" t="n">
        <v>0.4</v>
      </c>
      <c r="C11" s="7" t="n">
        <f>A11*B11/0.6</f>
        <v>0</v>
      </c>
      <c r="D11" s="20" t="n">
        <v>0</v>
      </c>
      <c r="E11" s="6" t="n">
        <f>A11*D11</f>
        <v>0</v>
      </c>
      <c r="F11" s="11" t="n">
        <f>C11*D11</f>
        <v>0</v>
      </c>
      <c r="G11" s="12" t="n">
        <f>D11/$B$15</f>
        <v>0</v>
      </c>
      <c r="H11" s="15"/>
      <c r="I11" s="48"/>
      <c r="J11" s="13"/>
      <c r="K11" s="13" t="n">
        <f>A11/5000</f>
        <v>0</v>
      </c>
      <c r="L11" s="13" t="n">
        <f>K11*D11</f>
        <v>0</v>
      </c>
      <c r="O11" s="6"/>
      <c r="P11" s="19" t="n">
        <v>0.4</v>
      </c>
      <c r="Q11" s="7" t="n">
        <f>O11*P11/0.6</f>
        <v>0</v>
      </c>
      <c r="R11" s="20" t="n">
        <v>0</v>
      </c>
      <c r="S11" s="6" t="n">
        <f>O11*R11</f>
        <v>0</v>
      </c>
      <c r="T11" s="11" t="n">
        <f>Q11*R11</f>
        <v>0</v>
      </c>
      <c r="U11" s="12" t="n">
        <f>R11/$P$15</f>
        <v>0</v>
      </c>
      <c r="V11" s="15"/>
      <c r="W11" s="48"/>
      <c r="X11" s="13"/>
      <c r="Y11" s="13" t="n">
        <f>O11/5000</f>
        <v>0</v>
      </c>
      <c r="Z11" s="13" t="n">
        <f>Y11*R11</f>
        <v>0</v>
      </c>
    </row>
    <row r="12" ht="16.5" customHeight="1">
      <c r="A12" s="6"/>
      <c r="B12" s="19" t="n">
        <v>0.4</v>
      </c>
      <c r="C12" s="7" t="n">
        <f>A12*B12/0.6</f>
        <v>0</v>
      </c>
      <c r="D12" s="20" t="n">
        <v>0</v>
      </c>
      <c r="E12" s="6" t="n">
        <f>A12*D12</f>
        <v>0</v>
      </c>
      <c r="F12" s="11" t="n">
        <f>C12*D12</f>
        <v>0</v>
      </c>
      <c r="G12" s="12" t="n">
        <f>D12/$B$15</f>
        <v>0</v>
      </c>
      <c r="H12" s="15"/>
      <c r="I12" s="35"/>
      <c r="J12" s="13"/>
      <c r="K12" s="13" t="n">
        <f>A12/5000</f>
        <v>0</v>
      </c>
      <c r="L12" s="13" t="n">
        <f>K12*D12</f>
        <v>0</v>
      </c>
      <c r="O12" s="6"/>
      <c r="P12" s="19" t="n">
        <v>0.4</v>
      </c>
      <c r="Q12" s="7" t="n">
        <f>O12*P12/0.6</f>
        <v>0</v>
      </c>
      <c r="R12" s="20" t="n">
        <v>0</v>
      </c>
      <c r="S12" s="6" t="n">
        <f>O12*R12</f>
        <v>0</v>
      </c>
      <c r="T12" s="11" t="n">
        <f>Q12*R12</f>
        <v>0</v>
      </c>
      <c r="U12" s="12" t="n">
        <f>R12/$P$15</f>
        <v>0</v>
      </c>
      <c r="V12" s="15"/>
      <c r="W12" s="35"/>
      <c r="X12" s="13"/>
      <c r="Y12" s="13" t="n">
        <f>O12/5000</f>
        <v>0</v>
      </c>
      <c r="Z12" s="13" t="n">
        <f>Y12*R12</f>
        <v>0</v>
      </c>
    </row>
    <row r="13" ht="16.5" customHeight="1">
      <c r="A13" s="6"/>
      <c r="B13" s="19" t="n">
        <v>0.4</v>
      </c>
      <c r="C13" s="7" t="n">
        <f>A13*B13/0.6</f>
        <v>0</v>
      </c>
      <c r="D13" s="20" t="n">
        <v>0</v>
      </c>
      <c r="E13" s="6" t="n">
        <f>A13*D13</f>
        <v>0</v>
      </c>
      <c r="F13" s="11" t="n">
        <f>C13*D13</f>
        <v>0</v>
      </c>
      <c r="G13" s="12" t="n">
        <f>D13/$B$15</f>
        <v>0</v>
      </c>
      <c r="H13" s="15"/>
      <c r="I13" s="48"/>
      <c r="J13" s="13"/>
      <c r="K13" s="13" t="n">
        <f>A13/5000</f>
        <v>0</v>
      </c>
      <c r="L13" s="13" t="n">
        <f>K13*D13</f>
        <v>0</v>
      </c>
      <c r="O13" s="6"/>
      <c r="P13" s="19" t="n">
        <v>0.4</v>
      </c>
      <c r="Q13" s="7" t="n">
        <f>O13*P13/0.6</f>
        <v>0</v>
      </c>
      <c r="R13" s="20" t="n">
        <v>0</v>
      </c>
      <c r="S13" s="6" t="n">
        <f>O13*R13</f>
        <v>0</v>
      </c>
      <c r="T13" s="11" t="n">
        <f>Q13*R13</f>
        <v>0</v>
      </c>
      <c r="U13" s="12" t="n">
        <f>R13/$P$15</f>
        <v>0</v>
      </c>
      <c r="V13" s="15"/>
      <c r="W13" s="48"/>
      <c r="X13" s="13"/>
      <c r="Y13" s="13" t="n">
        <f>O13/5000</f>
        <v>0</v>
      </c>
      <c r="Z13" s="13" t="n">
        <f>Y13*R13</f>
        <v>0</v>
      </c>
    </row>
    <row r="14" ht="16.5" customHeight="1">
      <c r="A14" s="17"/>
      <c r="B14" s="17"/>
      <c r="C14" s="17"/>
      <c r="D14" s="17"/>
      <c r="E14" s="17"/>
      <c r="F14" s="17"/>
      <c r="G14" s="17"/>
      <c r="H14" s="17"/>
      <c r="O14" s="17"/>
      <c r="P14" s="17"/>
      <c r="Q14" s="17"/>
      <c r="R14" s="17"/>
      <c r="S14" s="17"/>
      <c r="T14" s="17"/>
      <c r="U14" s="17"/>
      <c r="V14" s="17"/>
    </row>
    <row r="15" ht="16.5" customHeight="1">
      <c r="A15" s="22" t="s">
        <v>21</v>
      </c>
      <c r="B15" s="23" t="n">
        <f>SUM(D4:D13)</f>
        <v>459</v>
      </c>
      <c r="C15" s="24" t="s">
        <v>22</v>
      </c>
      <c r="D15" s="10"/>
      <c r="E15" s="31" t="n">
        <f>SUM(E4:E13)</f>
        <v>12905000</v>
      </c>
      <c r="F15" s="39" t="s">
        <v>23</v>
      </c>
      <c r="G15" s="40"/>
      <c r="H15" s="41" t="n">
        <f>E15/E17</f>
        <v>1.4057734204793</v>
      </c>
      <c r="O15" s="22" t="s">
        <v>21</v>
      </c>
      <c r="P15" s="23" t="n">
        <f>SUM(R4:R13)</f>
        <v>478</v>
      </c>
      <c r="Q15" s="24" t="s">
        <v>22</v>
      </c>
      <c r="R15" s="10"/>
      <c r="S15" s="31" t="n">
        <f>SUM(S4:S13)</f>
        <v>12924000</v>
      </c>
      <c r="T15" s="39" t="s">
        <v>23</v>
      </c>
      <c r="U15" s="40"/>
      <c r="V15" s="41" t="n">
        <f>S15/S17</f>
        <v>1.35188284518828</v>
      </c>
    </row>
    <row r="16" ht="16.5" customHeight="1">
      <c r="A16" s="22" t="s">
        <v>24</v>
      </c>
      <c r="B16" s="22" t="n">
        <v>20000</v>
      </c>
      <c r="C16" s="24" t="s">
        <v>25</v>
      </c>
      <c r="D16" s="10"/>
      <c r="E16" s="31" t="n">
        <f>SUM(F4:F13)</f>
        <v>8603333.33333333</v>
      </c>
      <c r="F16" s="39" t="s">
        <v>26</v>
      </c>
      <c r="G16" s="40"/>
      <c r="H16" s="41" t="n">
        <f>E16/E17</f>
        <v>0.937182280319535</v>
      </c>
      <c r="O16" s="22" t="s">
        <v>24</v>
      </c>
      <c r="P16" s="22" t="n">
        <v>20000</v>
      </c>
      <c r="Q16" s="24" t="s">
        <v>25</v>
      </c>
      <c r="R16" s="10"/>
      <c r="S16" s="31" t="n">
        <f>SUM(T4:T13)</f>
        <v>8615999.99999999</v>
      </c>
      <c r="T16" s="39" t="s">
        <v>26</v>
      </c>
      <c r="U16" s="40"/>
      <c r="V16" s="41" t="n">
        <f>S16/S17</f>
        <v>0.901255230125522</v>
      </c>
    </row>
    <row r="17" ht="16.5" customHeight="1">
      <c r="A17" s="15"/>
      <c r="B17" s="15"/>
      <c r="C17" s="24" t="s">
        <v>27</v>
      </c>
      <c r="D17" s="10"/>
      <c r="E17" s="8" t="n">
        <f>B15*B16</f>
        <v>9180000</v>
      </c>
      <c r="F17" s="39" t="s">
        <v>28</v>
      </c>
      <c r="G17" s="40"/>
      <c r="H17" s="41" t="n">
        <f>E17/E16</f>
        <v>1.067028283611</v>
      </c>
      <c r="O17" s="15"/>
      <c r="P17" s="15"/>
      <c r="Q17" s="24" t="s">
        <v>27</v>
      </c>
      <c r="R17" s="10"/>
      <c r="S17" s="8" t="n">
        <f>P15*P16</f>
        <v>9560000</v>
      </c>
      <c r="T17" s="39" t="s">
        <v>28</v>
      </c>
      <c r="U17" s="40"/>
      <c r="V17" s="41" t="n">
        <f>S17/S16</f>
        <v>1.10956360259982</v>
      </c>
    </row>
    <row r="18" ht="16.5" customHeight="1">
      <c r="A18" s="9" t="s">
        <v>51</v>
      </c>
      <c r="B18" s="34" t="s">
        <v>90</v>
      </c>
      <c r="H18" s="5" t="n">
        <f>100*B16*(1.45-H15)</f>
        <v>88453.1590414</v>
      </c>
      <c r="O18" s="9" t="s">
        <v>51</v>
      </c>
      <c r="P18" s="34" t="s">
        <v>90</v>
      </c>
      <c r="V18" s="5" t="n">
        <f>100*P16*(1.45-V15)</f>
        <v>196234.30962344</v>
      </c>
    </row>
    <row r="19" ht="16.5" customHeight="1">
      <c r="A19" s="9" t="s">
        <v>64</v>
      </c>
      <c r="B19" s="34" t="s">
        <v>91</v>
      </c>
      <c r="O19" s="9" t="s">
        <v>64</v>
      </c>
      <c r="P19" s="34" t="s">
        <v>91</v>
      </c>
    </row>
    <row r="20" ht="16.5" customHeight="1">
      <c r="A20" s="9" t="s">
        <v>74</v>
      </c>
      <c r="B20" s="34" t="s">
        <v>91</v>
      </c>
      <c r="O20" s="9" t="s">
        <v>74</v>
      </c>
      <c r="P20" s="34" t="s">
        <v>91</v>
      </c>
    </row>
    <row r="21" ht="16.5" customHeight="1">
      <c r="A21" s="9" t="s">
        <v>77</v>
      </c>
      <c r="B21" s="34" t="s">
        <v>91</v>
      </c>
      <c r="O21" s="9" t="s">
        <v>77</v>
      </c>
      <c r="P21" s="34" t="s">
        <v>91</v>
      </c>
    </row>
    <row r="22" ht="16.5" customHeight="1">
      <c r="A22" s="9" t="s">
        <v>77</v>
      </c>
      <c r="B22" s="34" t="s">
        <v>91</v>
      </c>
      <c r="O22" s="9" t="s">
        <v>77</v>
      </c>
      <c r="P22" s="34" t="s">
        <v>91</v>
      </c>
    </row>
    <row r="25" ht="16.5" customHeight="1">
      <c r="A25" s="30" t="s">
        <v>98</v>
      </c>
      <c r="B25" s="27"/>
      <c r="C25" s="27"/>
      <c r="D25" s="27"/>
      <c r="E25" s="27"/>
      <c r="F25" s="27"/>
      <c r="G25" s="27"/>
      <c r="H25" s="28"/>
    </row>
    <row r="26" ht="16.5" customHeight="1">
      <c r="A26" s="15" t="s">
        <v>86</v>
      </c>
      <c r="B26" s="10"/>
      <c r="C26" s="10"/>
      <c r="D26" s="10"/>
      <c r="E26" s="10"/>
      <c r="F26" s="10"/>
      <c r="G26" s="10"/>
      <c r="H26" s="10"/>
    </row>
    <row r="27" ht="16.5" customHeight="1">
      <c r="A27" s="17" t="s">
        <v>2</v>
      </c>
      <c r="B27" s="15" t="s">
        <v>3</v>
      </c>
      <c r="C27" s="18" t="s">
        <v>4</v>
      </c>
      <c r="D27" s="20" t="s">
        <v>5</v>
      </c>
      <c r="E27" s="17" t="s">
        <v>6</v>
      </c>
      <c r="F27" s="15" t="s">
        <v>7</v>
      </c>
      <c r="G27" s="15" t="s">
        <v>8</v>
      </c>
      <c r="H27" s="17" t="s">
        <v>9</v>
      </c>
      <c r="I27" s="9" t="s">
        <v>168</v>
      </c>
      <c r="J27" s="9" t="s">
        <v>11</v>
      </c>
      <c r="K27" s="9" t="s">
        <v>12</v>
      </c>
    </row>
    <row r="28" ht="16.5" customHeight="1">
      <c r="A28" s="6" t="n">
        <v>1000</v>
      </c>
      <c r="B28" s="19" t="n">
        <v>0.4</v>
      </c>
      <c r="C28" s="7" t="n">
        <f>A28*B28/0.6</f>
        <v>666.666666666667</v>
      </c>
      <c r="D28" s="82" t="n">
        <v>528</v>
      </c>
      <c r="E28" s="6" t="n">
        <f>A28*D28</f>
        <v>528000</v>
      </c>
      <c r="F28" s="11" t="n">
        <f>C28*D28</f>
        <v>352000</v>
      </c>
      <c r="G28" s="12" t="n">
        <f>D28/$B$39</f>
        <v>0.576419213973799</v>
      </c>
      <c r="H28" s="15" t="s">
        <v>31</v>
      </c>
      <c r="I28" s="35"/>
      <c r="J28" s="13"/>
      <c r="K28" s="13" t="n">
        <v>4</v>
      </c>
      <c r="L28" s="13" t="n">
        <f>K28*D28</f>
        <v>2112</v>
      </c>
    </row>
    <row r="29" ht="16.5" customHeight="1">
      <c r="A29" s="6" t="n">
        <v>10000</v>
      </c>
      <c r="B29" s="19" t="n">
        <v>0.4</v>
      </c>
      <c r="C29" s="7" t="n">
        <f>A29*B29/0.6</f>
        <v>6666.66666666667</v>
      </c>
      <c r="D29" s="20" t="n">
        <v>200</v>
      </c>
      <c r="E29" s="6" t="n">
        <f>A29*D29</f>
        <v>2000000</v>
      </c>
      <c r="F29" s="11" t="n">
        <f>C29*D29</f>
        <v>1333333.33333333</v>
      </c>
      <c r="G29" s="12" t="n">
        <f>D29/$B$39</f>
        <v>0.218340611353712</v>
      </c>
      <c r="H29" s="15" t="s">
        <v>87</v>
      </c>
      <c r="I29" s="35"/>
      <c r="J29" s="13"/>
      <c r="K29" s="13" t="n">
        <f>A29/5000</f>
        <v>2</v>
      </c>
      <c r="L29" s="13" t="n">
        <f>K29*D29</f>
        <v>400</v>
      </c>
    </row>
    <row r="30" ht="16.5" customHeight="1">
      <c r="A30" s="6" t="n">
        <v>52000</v>
      </c>
      <c r="B30" s="19" t="n">
        <v>0.4</v>
      </c>
      <c r="C30" s="7" t="n">
        <f>A30*B30/0.6</f>
        <v>34666.6666666667</v>
      </c>
      <c r="D30" s="20" t="n">
        <v>100</v>
      </c>
      <c r="E30" s="6" t="n">
        <f>A30*D30</f>
        <v>5200000</v>
      </c>
      <c r="F30" s="11" t="n">
        <f>C30*D30</f>
        <v>3466666.66666667</v>
      </c>
      <c r="G30" s="12" t="n">
        <f>D30/$B$39</f>
        <v>0.109170305676856</v>
      </c>
      <c r="H30" s="21" t="s">
        <v>54</v>
      </c>
      <c r="I30" s="48"/>
      <c r="J30" s="13"/>
      <c r="K30" s="13" t="n">
        <f>A30/5000</f>
        <v>10.4</v>
      </c>
      <c r="L30" s="13" t="n">
        <f>K30*D30</f>
        <v>1040</v>
      </c>
    </row>
    <row r="31" ht="16.5" customHeight="1">
      <c r="A31" s="6" t="n">
        <v>100000</v>
      </c>
      <c r="B31" s="19" t="n">
        <v>0.4</v>
      </c>
      <c r="C31" s="7" t="n">
        <f>A31*B31/0.6</f>
        <v>66666.6666666667</v>
      </c>
      <c r="D31" s="20" t="n">
        <v>40</v>
      </c>
      <c r="E31" s="6" t="n">
        <f>A31*D31</f>
        <v>4000000</v>
      </c>
      <c r="F31" s="11" t="n">
        <f>C31*D31</f>
        <v>2666666.66666667</v>
      </c>
      <c r="G31" s="12" t="n">
        <f>D31/$B$39</f>
        <v>0.0436681222707424</v>
      </c>
      <c r="H31" s="15" t="s">
        <v>56</v>
      </c>
      <c r="I31" s="48"/>
      <c r="J31" s="13"/>
      <c r="K31" s="13" t="n">
        <f>A31/5000</f>
        <v>20</v>
      </c>
      <c r="L31" s="13" t="n">
        <f>K31*D31</f>
        <v>800</v>
      </c>
    </row>
    <row r="32" ht="16.5" customHeight="1">
      <c r="A32" s="6" t="n">
        <v>100000</v>
      </c>
      <c r="B32" s="19" t="n">
        <v>0.4</v>
      </c>
      <c r="C32" s="7" t="n">
        <f>A32*B32/0.6</f>
        <v>66666.6666666667</v>
      </c>
      <c r="D32" s="20" t="n">
        <v>40</v>
      </c>
      <c r="E32" s="6" t="n">
        <f>A32*D32</f>
        <v>4000000</v>
      </c>
      <c r="F32" s="11" t="n">
        <f>C32*D32</f>
        <v>2666666.66666667</v>
      </c>
      <c r="G32" s="12" t="n">
        <f>D32/$B$39</f>
        <v>0.0436681222707424</v>
      </c>
      <c r="H32" s="15" t="s">
        <v>57</v>
      </c>
      <c r="I32" s="48"/>
      <c r="J32" s="13"/>
      <c r="K32" s="13" t="n">
        <f>A32/5000</f>
        <v>20</v>
      </c>
      <c r="L32" s="13" t="n">
        <f>K32*D32</f>
        <v>800</v>
      </c>
    </row>
    <row r="33" ht="16.5" customHeight="1">
      <c r="A33" s="6" t="n">
        <v>520000</v>
      </c>
      <c r="B33" s="19" t="n">
        <v>0.4</v>
      </c>
      <c r="C33" s="7" t="n">
        <f>A33*B33/0.6</f>
        <v>346666.666666667</v>
      </c>
      <c r="D33" s="20" t="n">
        <v>4</v>
      </c>
      <c r="E33" s="6" t="n">
        <f>A33*D33</f>
        <v>2080000</v>
      </c>
      <c r="F33" s="11" t="n">
        <f>C33*D33</f>
        <v>1386666.66666667</v>
      </c>
      <c r="G33" s="12" t="n">
        <f>D33/$B$39</f>
        <v>0.00436681222707424</v>
      </c>
      <c r="H33" s="15" t="s">
        <v>88</v>
      </c>
      <c r="I33" s="48"/>
      <c r="J33" s="13"/>
      <c r="K33" s="13" t="n">
        <f>A33/5000</f>
        <v>104</v>
      </c>
      <c r="L33" s="13" t="n">
        <f>K33*D33</f>
        <v>416</v>
      </c>
    </row>
    <row r="34" ht="16.5" customHeight="1">
      <c r="A34" s="6" t="n">
        <v>2000000</v>
      </c>
      <c r="B34" s="19" t="n">
        <v>0.4</v>
      </c>
      <c r="C34" s="7" t="n">
        <f>A34*B34/0.6</f>
        <v>1333333.33333333</v>
      </c>
      <c r="D34" s="20" t="n">
        <v>4</v>
      </c>
      <c r="E34" s="6" t="n">
        <f>A34*D34</f>
        <v>8000000</v>
      </c>
      <c r="F34" s="11" t="n">
        <f>C34*D34</f>
        <v>5333333.33333332</v>
      </c>
      <c r="G34" s="12" t="n">
        <f>D34/$B$39</f>
        <v>0.00436681222707424</v>
      </c>
      <c r="H34" s="15" t="s">
        <v>89</v>
      </c>
      <c r="I34" s="35"/>
      <c r="J34" s="13" t="s">
        <v>43</v>
      </c>
      <c r="K34" s="13" t="n">
        <f>A34/5000</f>
        <v>400</v>
      </c>
      <c r="L34" s="13" t="n">
        <f>K34*D34</f>
        <v>1600</v>
      </c>
    </row>
    <row r="35" ht="16.5" customHeight="1">
      <c r="A35" s="6"/>
      <c r="B35" s="19" t="n">
        <v>0.4</v>
      </c>
      <c r="C35" s="7" t="n">
        <f>A35*B35/0.6</f>
        <v>0</v>
      </c>
      <c r="D35" s="20" t="n">
        <v>0</v>
      </c>
      <c r="E35" s="6" t="n">
        <f>A35*D35</f>
        <v>0</v>
      </c>
      <c r="F35" s="11" t="n">
        <f>C35*D35</f>
        <v>0</v>
      </c>
      <c r="G35" s="12"/>
      <c r="H35" s="15"/>
      <c r="I35" s="48"/>
      <c r="J35" s="13"/>
      <c r="K35" s="13" t="n">
        <f>A35/5000</f>
        <v>0</v>
      </c>
      <c r="L35" s="13" t="n">
        <f>K35*D35</f>
        <v>0</v>
      </c>
    </row>
    <row r="36" ht="16.5" customHeight="1">
      <c r="A36" s="6"/>
      <c r="B36" s="19" t="n">
        <v>0.4</v>
      </c>
      <c r="C36" s="7" t="n">
        <f>A36*B36/0.6</f>
        <v>0</v>
      </c>
      <c r="D36" s="20" t="n">
        <v>0</v>
      </c>
      <c r="E36" s="6" t="n">
        <f>A36*D36</f>
        <v>0</v>
      </c>
      <c r="F36" s="11" t="n">
        <f>C36*D36</f>
        <v>0</v>
      </c>
      <c r="G36" s="12"/>
      <c r="H36" s="15"/>
      <c r="I36" s="35"/>
      <c r="J36" s="13"/>
      <c r="K36" s="13" t="n">
        <f>A36/5000</f>
        <v>0</v>
      </c>
      <c r="L36" s="13" t="n">
        <f>K36*D36</f>
        <v>0</v>
      </c>
    </row>
    <row r="37" ht="16.5" customHeight="1">
      <c r="A37" s="6"/>
      <c r="B37" s="19" t="n">
        <v>0.4</v>
      </c>
      <c r="C37" s="7" t="n">
        <f>A37*B37/0.6</f>
        <v>0</v>
      </c>
      <c r="D37" s="20" t="n">
        <v>0</v>
      </c>
      <c r="E37" s="6" t="n">
        <f>A37*D37</f>
        <v>0</v>
      </c>
      <c r="F37" s="11" t="n">
        <f>C37*D37</f>
        <v>0</v>
      </c>
      <c r="G37" s="12"/>
      <c r="H37" s="15"/>
      <c r="I37" s="48"/>
      <c r="J37" s="13"/>
      <c r="K37" s="13" t="n">
        <f>A37/5000</f>
        <v>0</v>
      </c>
      <c r="L37" s="13" t="n">
        <f>K37*D37</f>
        <v>0</v>
      </c>
    </row>
    <row r="38" ht="16.5" customHeight="1">
      <c r="A38" s="17"/>
      <c r="B38" s="17"/>
      <c r="C38" s="17"/>
      <c r="D38" s="17"/>
      <c r="E38" s="17"/>
      <c r="F38" s="17"/>
      <c r="G38" s="17"/>
      <c r="H38" s="17"/>
    </row>
    <row r="39" ht="16.5" customHeight="1">
      <c r="A39" s="22" t="s">
        <v>21</v>
      </c>
      <c r="B39" s="23" t="n">
        <f>SUM(D28:D37)</f>
        <v>916</v>
      </c>
      <c r="C39" s="24" t="s">
        <v>22</v>
      </c>
      <c r="D39" s="10"/>
      <c r="E39" s="31" t="n">
        <f>SUM(E28:E37)</f>
        <v>25808000</v>
      </c>
      <c r="F39" s="39" t="s">
        <v>23</v>
      </c>
      <c r="G39" s="40"/>
      <c r="H39" s="41" t="n">
        <f>E39/E41</f>
        <v>1.40873362445415</v>
      </c>
    </row>
    <row r="40" ht="16.5" customHeight="1">
      <c r="A40" s="22" t="s">
        <v>24</v>
      </c>
      <c r="B40" s="22" t="n">
        <v>20000</v>
      </c>
      <c r="C40" s="24" t="s">
        <v>25</v>
      </c>
      <c r="D40" s="10"/>
      <c r="E40" s="31" t="n">
        <f>SUM(F28:F37)</f>
        <v>17205333.3333333</v>
      </c>
      <c r="F40" s="39" t="s">
        <v>26</v>
      </c>
      <c r="G40" s="40"/>
      <c r="H40" s="41" t="n">
        <f>E40/E41</f>
        <v>0.939155749636097</v>
      </c>
    </row>
    <row r="41" ht="16.5" customHeight="1">
      <c r="A41" s="15"/>
      <c r="B41" s="15"/>
      <c r="C41" s="24" t="s">
        <v>27</v>
      </c>
      <c r="D41" s="10"/>
      <c r="E41" s="8" t="n">
        <f>B39*B40</f>
        <v>18320000</v>
      </c>
      <c r="F41" s="39" t="s">
        <v>28</v>
      </c>
      <c r="G41" s="40"/>
      <c r="H41" s="41" t="n">
        <f>E41/E40</f>
        <v>1.06478611283323</v>
      </c>
    </row>
  </sheetData>
  <mergeCells count="24">
    <mergeCell ref="T15:U15"/>
    <mergeCell ref="T16:U16"/>
    <mergeCell ref="O1:V1"/>
    <mergeCell ref="O2:V2"/>
    <mergeCell ref="Q15:R15"/>
    <mergeCell ref="Q16:R16"/>
    <mergeCell ref="Q17:R17"/>
    <mergeCell ref="T17:U17"/>
    <mergeCell ref="F39:G39"/>
    <mergeCell ref="F40:G40"/>
    <mergeCell ref="A25:H25"/>
    <mergeCell ref="A26:H26"/>
    <mergeCell ref="C39:D39"/>
    <mergeCell ref="C40:D40"/>
    <mergeCell ref="C41:D41"/>
    <mergeCell ref="F41:G41"/>
    <mergeCell ref="F15:G15"/>
    <mergeCell ref="F16:G16"/>
    <mergeCell ref="A1:H1"/>
    <mergeCell ref="A2:H2"/>
    <mergeCell ref="C15:D15"/>
    <mergeCell ref="C16:D16"/>
    <mergeCell ref="C17:D17"/>
    <mergeCell ref="F17:G17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857421875" customWidth="1"/>
    <col min="8" max="8" width="71.8154296875" customWidth="1"/>
    <col min="9" max="9" width="11.8740234375" customWidth="1"/>
  </cols>
  <sheetData>
    <row r="1" ht="16.5" customHeight="1">
      <c r="A1" s="29" t="s">
        <v>175</v>
      </c>
      <c r="B1" s="33"/>
      <c r="C1" s="33"/>
      <c r="D1" s="33"/>
      <c r="E1" s="33"/>
      <c r="F1" s="33"/>
      <c r="G1" s="33"/>
      <c r="H1" s="37"/>
      <c r="I1" s="38"/>
      <c r="J1" s="38"/>
      <c r="K1" s="38"/>
      <c r="N1" s="30"/>
      <c r="O1" s="27"/>
      <c r="P1" s="27"/>
      <c r="Q1" s="27"/>
      <c r="R1" s="27"/>
      <c r="S1" s="27"/>
      <c r="T1" s="27"/>
      <c r="U1" s="28"/>
    </row>
    <row r="2" ht="16.5" customHeight="1">
      <c r="A2" s="42" t="s">
        <v>1</v>
      </c>
      <c r="B2" s="43"/>
      <c r="C2" s="43"/>
      <c r="D2" s="43"/>
      <c r="E2" s="43"/>
      <c r="F2" s="43"/>
      <c r="G2" s="43"/>
      <c r="H2" s="43"/>
      <c r="I2" s="38"/>
      <c r="J2" s="38"/>
      <c r="K2" s="38"/>
      <c r="N2" s="15"/>
      <c r="O2" s="10"/>
      <c r="P2" s="10"/>
      <c r="Q2" s="10"/>
      <c r="R2" s="10"/>
      <c r="S2" s="10"/>
      <c r="T2" s="10"/>
      <c r="U2" s="10"/>
    </row>
    <row r="3" ht="16.5" customHeight="1">
      <c r="A3" s="45" t="s">
        <v>2</v>
      </c>
      <c r="B3" s="42" t="s">
        <v>3</v>
      </c>
      <c r="C3" s="47" t="s">
        <v>4</v>
      </c>
      <c r="D3" s="49" t="s">
        <v>5</v>
      </c>
      <c r="E3" s="45" t="s">
        <v>6</v>
      </c>
      <c r="F3" s="42" t="s">
        <v>7</v>
      </c>
      <c r="G3" s="42" t="s">
        <v>8</v>
      </c>
      <c r="H3" s="45" t="s">
        <v>9</v>
      </c>
      <c r="I3" s="38" t="s">
        <v>11</v>
      </c>
      <c r="J3" s="38" t="s">
        <v>12</v>
      </c>
      <c r="K3" s="38"/>
      <c r="N3" s="17"/>
      <c r="O3" s="15"/>
      <c r="P3" s="18"/>
      <c r="Q3" s="20"/>
      <c r="R3" s="17"/>
      <c r="S3" s="15"/>
      <c r="T3" s="15"/>
      <c r="U3" s="17"/>
    </row>
    <row r="4" ht="16.5" customHeight="1">
      <c r="A4" s="50" t="n">
        <v>52000</v>
      </c>
      <c r="B4" s="51" t="n">
        <v>0.4</v>
      </c>
      <c r="C4" s="52" t="n">
        <f>A4*B4/0.6</f>
        <v>34666.6666666667</v>
      </c>
      <c r="D4" s="53" t="n">
        <v>380</v>
      </c>
      <c r="E4" s="50" t="n">
        <f>A4*D4</f>
        <v>19760000</v>
      </c>
      <c r="F4" s="55" t="n">
        <f>C4*D4</f>
        <v>13173333.3333333</v>
      </c>
      <c r="G4" s="56" t="n">
        <f>D4/$B$10</f>
        <v>0.861678004535147</v>
      </c>
      <c r="H4" s="42" t="s">
        <v>54</v>
      </c>
      <c r="I4" s="57"/>
      <c r="J4" s="57" t="n">
        <f>A4/5000</f>
        <v>10.4</v>
      </c>
      <c r="K4" s="57" t="n">
        <f>J4*D4</f>
        <v>3952</v>
      </c>
      <c r="L4" s="14"/>
      <c r="N4" s="6"/>
      <c r="O4" s="19"/>
      <c r="P4" s="7"/>
      <c r="Q4" s="82"/>
      <c r="R4" s="6"/>
      <c r="S4" s="11"/>
      <c r="T4" s="12"/>
      <c r="U4" s="15"/>
      <c r="V4" s="13"/>
      <c r="W4" s="13"/>
      <c r="X4" s="13"/>
    </row>
    <row r="5" ht="16.5" customHeight="1">
      <c r="A5" s="50" t="n">
        <v>500000</v>
      </c>
      <c r="B5" s="51" t="n">
        <v>0.4</v>
      </c>
      <c r="C5" s="52" t="n">
        <f>A5*B5/0.6</f>
        <v>333333.333333333</v>
      </c>
      <c r="D5" s="49" t="n">
        <v>55</v>
      </c>
      <c r="E5" s="50" t="n">
        <f>A5*D5</f>
        <v>27500000</v>
      </c>
      <c r="F5" s="55" t="n">
        <f>C5*D5</f>
        <v>18333333.3333333</v>
      </c>
      <c r="G5" s="56" t="n">
        <f>D5/$B$10</f>
        <v>0.124716553287982</v>
      </c>
      <c r="H5" s="42" t="s">
        <v>40</v>
      </c>
      <c r="I5" s="57"/>
      <c r="J5" s="57" t="n">
        <f>A5/5000</f>
        <v>100</v>
      </c>
      <c r="K5" s="57" t="n">
        <f>J5*D5</f>
        <v>5500</v>
      </c>
      <c r="L5" s="14"/>
      <c r="N5" s="6"/>
      <c r="O5" s="19"/>
      <c r="P5" s="7"/>
      <c r="Q5" s="20"/>
      <c r="R5" s="6"/>
      <c r="S5" s="11"/>
      <c r="T5" s="12"/>
      <c r="U5" s="15"/>
      <c r="V5" s="13"/>
      <c r="W5" s="13"/>
      <c r="X5" s="13"/>
    </row>
    <row r="6" ht="16.5" customHeight="1" hidden="1">
      <c r="A6" s="50" t="n">
        <v>800000</v>
      </c>
      <c r="B6" s="51" t="n">
        <v>0.4</v>
      </c>
      <c r="C6" s="52" t="n">
        <f>A6*B6/0.6</f>
        <v>533333.333333333</v>
      </c>
      <c r="D6" s="49" t="n">
        <v>0</v>
      </c>
      <c r="E6" s="50" t="n">
        <f>A6*D6</f>
        <v>0</v>
      </c>
      <c r="F6" s="55" t="n">
        <f>C6*D6</f>
        <v>0</v>
      </c>
      <c r="G6" s="56" t="n">
        <f>D6/$B$10</f>
        <v>0</v>
      </c>
      <c r="H6" s="42"/>
      <c r="I6" s="57"/>
      <c r="J6" s="57" t="n">
        <f>A6/5000</f>
        <v>160</v>
      </c>
      <c r="K6" s="57" t="n">
        <f>J6*D6</f>
        <v>0</v>
      </c>
      <c r="L6" s="14"/>
      <c r="N6" s="6"/>
      <c r="O6" s="19"/>
      <c r="P6" s="7"/>
      <c r="Q6" s="20"/>
      <c r="R6" s="6"/>
      <c r="S6" s="11"/>
      <c r="T6" s="12"/>
      <c r="U6" s="15"/>
      <c r="V6" s="13"/>
      <c r="W6" s="13"/>
      <c r="X6" s="13"/>
    </row>
    <row r="7" ht="16.5" customHeight="1">
      <c r="A7" s="50" t="n">
        <v>1234000</v>
      </c>
      <c r="B7" s="51" t="n">
        <v>0.4</v>
      </c>
      <c r="C7" s="52" t="n">
        <f>A7*B7/0.6</f>
        <v>822666.666666667</v>
      </c>
      <c r="D7" s="49" t="n">
        <v>4</v>
      </c>
      <c r="E7" s="50" t="n">
        <f>A7*D7</f>
        <v>4936000</v>
      </c>
      <c r="F7" s="55" t="n">
        <f>C7*D7</f>
        <v>3290666.66666667</v>
      </c>
      <c r="G7" s="56" t="n">
        <f>D7/$B$10</f>
        <v>0.0090702947845805</v>
      </c>
      <c r="H7" s="58" t="s">
        <v>60</v>
      </c>
      <c r="I7" s="57" t="s">
        <v>43</v>
      </c>
      <c r="J7" s="57" t="n">
        <f>A7/5000</f>
        <v>246.8</v>
      </c>
      <c r="K7" s="57" t="n">
        <f>J7*D7</f>
        <v>987.2</v>
      </c>
      <c r="L7" s="14"/>
      <c r="N7" s="6"/>
      <c r="O7" s="19"/>
      <c r="P7" s="7"/>
      <c r="Q7" s="20"/>
      <c r="R7" s="6"/>
      <c r="S7" s="11"/>
      <c r="T7" s="12"/>
      <c r="U7" s="21"/>
      <c r="V7" s="13"/>
      <c r="W7" s="13"/>
      <c r="X7" s="13"/>
    </row>
    <row r="8" ht="16.5" customHeight="1">
      <c r="A8" s="50" t="n">
        <v>5000000</v>
      </c>
      <c r="B8" s="51" t="n">
        <v>0.4</v>
      </c>
      <c r="C8" s="52" t="n">
        <f>A8*B8/0.6</f>
        <v>3333333.33333333</v>
      </c>
      <c r="D8" s="49" t="n">
        <v>2</v>
      </c>
      <c r="E8" s="50" t="n">
        <f>A8*D8</f>
        <v>10000000</v>
      </c>
      <c r="F8" s="55" t="n">
        <f>C8*D8</f>
        <v>6666666.66666666</v>
      </c>
      <c r="G8" s="56" t="n">
        <f>D8/$B$10</f>
        <v>0.00453514739229025</v>
      </c>
      <c r="H8" s="42" t="s">
        <v>176</v>
      </c>
      <c r="I8" s="57" t="s">
        <v>43</v>
      </c>
      <c r="J8" s="57" t="n">
        <f>A8/5000</f>
        <v>1000</v>
      </c>
      <c r="K8" s="57" t="n">
        <f>J8*D8</f>
        <v>2000</v>
      </c>
      <c r="L8" s="14"/>
      <c r="N8" s="6"/>
      <c r="O8" s="19"/>
      <c r="P8" s="7"/>
      <c r="Q8" s="20"/>
      <c r="R8" s="6"/>
      <c r="S8" s="11"/>
      <c r="T8" s="12"/>
      <c r="U8" s="15"/>
      <c r="V8" s="13"/>
      <c r="W8" s="13"/>
      <c r="X8" s="13"/>
    </row>
    <row r="9" ht="16.5" customHeight="1">
      <c r="A9" s="45"/>
      <c r="B9" s="45"/>
      <c r="C9" s="45"/>
      <c r="D9" s="45"/>
      <c r="E9" s="45"/>
      <c r="F9" s="45"/>
      <c r="G9" s="45"/>
      <c r="H9" s="45"/>
      <c r="I9" s="38"/>
      <c r="J9" s="38"/>
      <c r="K9" s="38"/>
      <c r="N9" s="17"/>
      <c r="O9" s="17"/>
      <c r="P9" s="17"/>
      <c r="Q9" s="17"/>
      <c r="R9" s="17"/>
      <c r="S9" s="17"/>
      <c r="T9" s="17"/>
      <c r="U9" s="17"/>
    </row>
    <row r="10" ht="16.5" customHeight="1">
      <c r="A10" s="59" t="s">
        <v>21</v>
      </c>
      <c r="B10" s="60" t="n">
        <f>SUM(D4:D8)</f>
        <v>441</v>
      </c>
      <c r="C10" s="61" t="s">
        <v>22</v>
      </c>
      <c r="D10" s="43"/>
      <c r="E10" s="62" t="n">
        <f>SUM(E4:E8)</f>
        <v>62196000</v>
      </c>
      <c r="F10" s="63" t="s">
        <v>23</v>
      </c>
      <c r="G10" s="64"/>
      <c r="H10" s="65" t="n">
        <f>E10/E12</f>
        <v>1.41034013605442</v>
      </c>
      <c r="I10" s="38"/>
      <c r="J10" s="38"/>
      <c r="K10" s="38"/>
      <c r="N10" s="22"/>
      <c r="O10" s="23"/>
      <c r="P10" s="24"/>
      <c r="Q10" s="10"/>
      <c r="R10" s="31"/>
      <c r="S10" s="39"/>
      <c r="T10" s="40"/>
      <c r="U10" s="41"/>
    </row>
    <row r="11" ht="16.5" customHeight="1">
      <c r="A11" s="59" t="s">
        <v>24</v>
      </c>
      <c r="B11" s="59" t="n">
        <v>100000</v>
      </c>
      <c r="C11" s="61" t="s">
        <v>25</v>
      </c>
      <c r="D11" s="43"/>
      <c r="E11" s="62" t="n">
        <f>SUM(F4:F8)</f>
        <v>41463999.9999999</v>
      </c>
      <c r="F11" s="63" t="s">
        <v>26</v>
      </c>
      <c r="G11" s="64"/>
      <c r="H11" s="65" t="n">
        <f>E11/E12</f>
        <v>0.940226757369612</v>
      </c>
      <c r="I11" s="38"/>
      <c r="J11" s="38"/>
      <c r="K11" s="38"/>
      <c r="N11" s="22"/>
      <c r="O11" s="22"/>
      <c r="P11" s="24"/>
      <c r="Q11" s="10"/>
      <c r="R11" s="31"/>
      <c r="S11" s="39"/>
      <c r="T11" s="40"/>
      <c r="U11" s="41"/>
    </row>
    <row r="12" ht="16.5" customHeight="1">
      <c r="A12" s="42"/>
      <c r="B12" s="42"/>
      <c r="C12" s="61" t="s">
        <v>27</v>
      </c>
      <c r="D12" s="43"/>
      <c r="E12" s="61" t="n">
        <f>B10*B11</f>
        <v>44100000</v>
      </c>
      <c r="F12" s="63" t="s">
        <v>28</v>
      </c>
      <c r="G12" s="64"/>
      <c r="H12" s="65" t="n">
        <f>E12/E11</f>
        <v>1.06357322014278</v>
      </c>
      <c r="I12" s="38"/>
      <c r="J12" s="38"/>
      <c r="K12" s="38"/>
      <c r="N12" s="15"/>
      <c r="O12" s="15"/>
      <c r="P12" s="24"/>
      <c r="Q12" s="10"/>
      <c r="R12" s="24"/>
      <c r="S12" s="39"/>
      <c r="T12" s="40"/>
      <c r="U12" s="41"/>
    </row>
    <row r="13" ht="16.5" customHeight="1">
      <c r="A13" s="66" t="s">
        <v>177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N13" s="34"/>
    </row>
    <row r="14" ht="16.5" customHeight="1">
      <c r="A14" s="66" t="s">
        <v>178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N14" s="34"/>
    </row>
    <row r="15" ht="16.5" customHeight="1">
      <c r="A15" s="66" t="s">
        <v>179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N15" s="34"/>
    </row>
    <row r="16" ht="16.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7" ht="16.5" customHeight="1">
      <c r="A17" s="29"/>
      <c r="B17" s="33"/>
      <c r="C17" s="33"/>
      <c r="D17" s="33"/>
      <c r="E17" s="33"/>
      <c r="F17" s="33"/>
      <c r="G17" s="33"/>
      <c r="H17" s="37"/>
      <c r="I17" s="38"/>
      <c r="J17" s="38"/>
      <c r="K17" s="38"/>
      <c r="N17" s="30" t="s">
        <v>180</v>
      </c>
      <c r="O17" s="27"/>
      <c r="P17" s="27"/>
      <c r="Q17" s="27"/>
      <c r="R17" s="27"/>
      <c r="S17" s="27"/>
      <c r="T17" s="27"/>
      <c r="U17" s="28"/>
    </row>
    <row r="18" ht="16.5" customHeight="1">
      <c r="A18" s="42"/>
      <c r="B18" s="43"/>
      <c r="C18" s="43"/>
      <c r="D18" s="43"/>
      <c r="E18" s="43"/>
      <c r="F18" s="43"/>
      <c r="G18" s="43"/>
      <c r="H18" s="43"/>
      <c r="I18" s="38"/>
      <c r="J18" s="38"/>
      <c r="K18" s="38"/>
      <c r="N18" s="15" t="s">
        <v>93</v>
      </c>
      <c r="O18" s="10"/>
      <c r="P18" s="10"/>
      <c r="Q18" s="10"/>
      <c r="R18" s="10"/>
      <c r="S18" s="10"/>
      <c r="T18" s="10"/>
      <c r="U18" s="10"/>
    </row>
    <row r="19" ht="16.5" customHeight="1">
      <c r="A19" s="45"/>
      <c r="B19" s="42"/>
      <c r="C19" s="47"/>
      <c r="D19" s="49"/>
      <c r="E19" s="45"/>
      <c r="F19" s="42"/>
      <c r="G19" s="42"/>
      <c r="H19" s="45"/>
      <c r="I19" s="38"/>
      <c r="J19" s="38"/>
      <c r="K19" s="38"/>
      <c r="N19" s="17" t="s">
        <v>2</v>
      </c>
      <c r="O19" s="15" t="s">
        <v>3</v>
      </c>
      <c r="P19" s="18" t="s">
        <v>4</v>
      </c>
      <c r="Q19" s="20" t="s">
        <v>5</v>
      </c>
      <c r="R19" s="17" t="s">
        <v>6</v>
      </c>
      <c r="S19" s="15" t="s">
        <v>7</v>
      </c>
      <c r="T19" s="15" t="s">
        <v>8</v>
      </c>
      <c r="U19" s="17" t="s">
        <v>9</v>
      </c>
      <c r="V19" s="9" t="s">
        <v>11</v>
      </c>
      <c r="W19" s="9" t="s">
        <v>12</v>
      </c>
    </row>
    <row r="20" ht="16.5" customHeight="1">
      <c r="A20" s="50"/>
      <c r="B20" s="51"/>
      <c r="C20" s="52"/>
      <c r="D20" s="53"/>
      <c r="E20" s="50"/>
      <c r="F20" s="55"/>
      <c r="G20" s="56"/>
      <c r="H20" s="42"/>
      <c r="I20" s="57"/>
      <c r="J20" s="57"/>
      <c r="K20" s="57"/>
      <c r="N20" s="6" t="n">
        <v>10000</v>
      </c>
      <c r="O20" s="19" t="n">
        <v>0.4</v>
      </c>
      <c r="P20" s="7" t="n">
        <f>N20*O20/0.6</f>
        <v>6666.66666666667</v>
      </c>
      <c r="Q20" s="82" t="n">
        <v>275</v>
      </c>
      <c r="R20" s="6" t="n">
        <f>N20*Q20</f>
        <v>2750000</v>
      </c>
      <c r="S20" s="11" t="n">
        <f>P20*Q20</f>
        <v>1833333.33333333</v>
      </c>
      <c r="T20" s="12" t="n">
        <f>Q20/$O$27</f>
        <v>0.77247191011236</v>
      </c>
      <c r="U20" s="15" t="s">
        <v>181</v>
      </c>
      <c r="V20" s="13"/>
      <c r="W20" s="13" t="n">
        <f>N20/5000</f>
        <v>2</v>
      </c>
      <c r="X20" s="13" t="n">
        <f>W20*Q20</f>
        <v>550</v>
      </c>
    </row>
    <row r="21" ht="16.5" customHeight="1">
      <c r="A21" s="50"/>
      <c r="B21" s="51"/>
      <c r="C21" s="52"/>
      <c r="D21" s="49"/>
      <c r="E21" s="50"/>
      <c r="F21" s="55"/>
      <c r="G21" s="56"/>
      <c r="H21" s="42"/>
      <c r="I21" s="57"/>
      <c r="J21" s="57"/>
      <c r="K21" s="57"/>
      <c r="N21" s="6" t="n">
        <v>200000</v>
      </c>
      <c r="O21" s="19" t="n">
        <v>0.4</v>
      </c>
      <c r="P21" s="7" t="n">
        <f>N21*O21/0.6</f>
        <v>133333.333333333</v>
      </c>
      <c r="Q21" s="20" t="n">
        <v>55</v>
      </c>
      <c r="R21" s="6" t="n">
        <f>N21*Q21</f>
        <v>11000000</v>
      </c>
      <c r="S21" s="11" t="n">
        <f>P21*Q21</f>
        <v>7333333.33333331</v>
      </c>
      <c r="T21" s="12" t="n">
        <f>Q21/$O$27</f>
        <v>0.154494382022472</v>
      </c>
      <c r="U21" s="15" t="s">
        <v>182</v>
      </c>
      <c r="V21" s="13"/>
      <c r="W21" s="13" t="n">
        <f>N21/5000</f>
        <v>40</v>
      </c>
      <c r="X21" s="13" t="n">
        <f>W21*Q21</f>
        <v>2200</v>
      </c>
    </row>
    <row r="22" ht="16.5" customHeight="1">
      <c r="A22" s="50"/>
      <c r="B22" s="51"/>
      <c r="C22" s="52"/>
      <c r="D22" s="49"/>
      <c r="E22" s="50"/>
      <c r="F22" s="55"/>
      <c r="G22" s="56"/>
      <c r="H22" s="42"/>
      <c r="I22" s="57"/>
      <c r="J22" s="57"/>
      <c r="K22" s="57"/>
      <c r="N22" s="6" t="n">
        <v>500000</v>
      </c>
      <c r="O22" s="19" t="n">
        <v>0.4</v>
      </c>
      <c r="P22" s="7" t="n">
        <f>N22*O22/0.6</f>
        <v>333333.333333333</v>
      </c>
      <c r="Q22" s="20" t="n">
        <v>20</v>
      </c>
      <c r="R22" s="6" t="n">
        <f>N22*Q22</f>
        <v>10000000</v>
      </c>
      <c r="S22" s="11" t="n">
        <f>P22*Q22</f>
        <v>6666666.66666666</v>
      </c>
      <c r="T22" s="12" t="n">
        <f>Q22/$O$27</f>
        <v>0.0561797752808989</v>
      </c>
      <c r="U22" s="15" t="s">
        <v>149</v>
      </c>
      <c r="V22" s="13"/>
      <c r="W22" s="13" t="n">
        <f>N22/5000</f>
        <v>100</v>
      </c>
      <c r="X22" s="13" t="n">
        <f>W22*Q22</f>
        <v>2000</v>
      </c>
    </row>
    <row r="23" ht="16.5" customHeight="1">
      <c r="A23" s="50"/>
      <c r="B23" s="51"/>
      <c r="C23" s="52"/>
      <c r="D23" s="49"/>
      <c r="E23" s="50"/>
      <c r="F23" s="55"/>
      <c r="G23" s="56"/>
      <c r="H23" s="58"/>
      <c r="I23" s="57"/>
      <c r="J23" s="57"/>
      <c r="K23" s="57"/>
      <c r="N23" s="6" t="n">
        <v>1000000</v>
      </c>
      <c r="O23" s="19" t="n">
        <v>0.4</v>
      </c>
      <c r="P23" s="7" t="n">
        <f>N23*O23/0.6</f>
        <v>666666.666666667</v>
      </c>
      <c r="Q23" s="20" t="n">
        <v>2</v>
      </c>
      <c r="R23" s="6" t="n">
        <f>N23*Q23</f>
        <v>2000000</v>
      </c>
      <c r="S23" s="11" t="n">
        <f>P23*Q23</f>
        <v>1333333.33333333</v>
      </c>
      <c r="T23" s="12" t="n">
        <f>Q23/$O$27</f>
        <v>0.00561797752808989</v>
      </c>
      <c r="U23" s="21" t="s">
        <v>183</v>
      </c>
      <c r="V23" s="13" t="s">
        <v>43</v>
      </c>
      <c r="W23" s="13" t="n">
        <f>N23/5000</f>
        <v>200</v>
      </c>
      <c r="X23" s="13" t="n">
        <f>W23*Q23</f>
        <v>400</v>
      </c>
    </row>
    <row r="24" ht="16.5" customHeight="1">
      <c r="A24" s="50"/>
      <c r="B24" s="51"/>
      <c r="C24" s="52"/>
      <c r="D24" s="49"/>
      <c r="E24" s="50"/>
      <c r="F24" s="55"/>
      <c r="G24" s="56"/>
      <c r="H24" s="58"/>
      <c r="I24" s="57"/>
      <c r="J24" s="57"/>
      <c r="K24" s="57"/>
      <c r="N24" s="6" t="n">
        <v>2000000</v>
      </c>
      <c r="O24" s="19" t="n">
        <v>0.4</v>
      </c>
      <c r="P24" s="7" t="n">
        <f>N24*O24/0.6</f>
        <v>1333333.33333333</v>
      </c>
      <c r="Q24" s="20" t="n">
        <v>2</v>
      </c>
      <c r="R24" s="6" t="n">
        <f>N24*Q24</f>
        <v>4000000</v>
      </c>
      <c r="S24" s="11" t="n">
        <f>P24*Q24</f>
        <v>2666666.66666666</v>
      </c>
      <c r="T24" s="12" t="n">
        <f>Q24/$O$27</f>
        <v>0.00561797752808989</v>
      </c>
      <c r="U24" s="15" t="s">
        <v>184</v>
      </c>
      <c r="V24" s="13" t="s">
        <v>43</v>
      </c>
      <c r="W24" s="13" t="n">
        <f>N24/5000</f>
        <v>400</v>
      </c>
      <c r="X24" s="13" t="n">
        <f>W24*Q24</f>
        <v>800</v>
      </c>
    </row>
    <row r="25" ht="16.5" customHeight="1">
      <c r="A25" s="50"/>
      <c r="B25" s="51"/>
      <c r="C25" s="52"/>
      <c r="D25" s="49"/>
      <c r="E25" s="50"/>
      <c r="F25" s="55"/>
      <c r="G25" s="56"/>
      <c r="H25" s="42"/>
      <c r="I25" s="57"/>
      <c r="J25" s="57"/>
      <c r="K25" s="57"/>
      <c r="N25" s="6" t="n">
        <v>10000000</v>
      </c>
      <c r="O25" s="19" t="n">
        <v>0.4</v>
      </c>
      <c r="P25" s="7" t="n">
        <f>N25*O25/0.6</f>
        <v>6666666.66666667</v>
      </c>
      <c r="Q25" s="20" t="n">
        <v>2</v>
      </c>
      <c r="R25" s="6" t="n">
        <f>N25*Q25</f>
        <v>20000000</v>
      </c>
      <c r="S25" s="11" t="n">
        <f>P25*Q25</f>
        <v>13333333.3333333</v>
      </c>
      <c r="T25" s="12" t="n">
        <f>Q25/$O$27</f>
        <v>0.00561797752808989</v>
      </c>
      <c r="U25" s="15" t="s">
        <v>185</v>
      </c>
      <c r="V25" s="13" t="s">
        <v>186</v>
      </c>
      <c r="W25" s="13" t="n">
        <f>N25/5000</f>
        <v>2000</v>
      </c>
      <c r="X25" s="13" t="n">
        <f>W25*Q25</f>
        <v>4000</v>
      </c>
    </row>
    <row r="26" ht="16.5" customHeight="1">
      <c r="A26" s="45"/>
      <c r="B26" s="45"/>
      <c r="C26" s="45"/>
      <c r="D26" s="45"/>
      <c r="E26" s="45"/>
      <c r="F26" s="45"/>
      <c r="G26" s="45"/>
      <c r="H26" s="45"/>
      <c r="I26" s="38"/>
      <c r="J26" s="38"/>
      <c r="K26" s="38"/>
      <c r="N26" s="17"/>
      <c r="O26" s="17"/>
      <c r="P26" s="17"/>
      <c r="Q26" s="17"/>
      <c r="R26" s="17"/>
      <c r="S26" s="17"/>
      <c r="T26" s="17"/>
      <c r="U26" s="17"/>
    </row>
    <row r="27" ht="16.5" customHeight="1">
      <c r="A27" s="59"/>
      <c r="B27" s="60"/>
      <c r="C27" s="61"/>
      <c r="D27" s="43"/>
      <c r="E27" s="62"/>
      <c r="F27" s="63"/>
      <c r="G27" s="64"/>
      <c r="H27" s="65"/>
      <c r="I27" s="38"/>
      <c r="J27" s="38"/>
      <c r="K27" s="38"/>
      <c r="N27" s="22" t="s">
        <v>21</v>
      </c>
      <c r="O27" s="23" t="n">
        <f>SUM(Q20:Q25)</f>
        <v>356</v>
      </c>
      <c r="P27" s="24" t="s">
        <v>22</v>
      </c>
      <c r="Q27" s="10"/>
      <c r="R27" s="31" t="n">
        <f>SUM(R20:R25)</f>
        <v>49750000</v>
      </c>
      <c r="S27" s="39" t="s">
        <v>23</v>
      </c>
      <c r="T27" s="40"/>
      <c r="U27" s="41" t="n">
        <f>R27/R29</f>
        <v>1.39747191011236</v>
      </c>
    </row>
    <row r="28" ht="16.5" customHeight="1">
      <c r="A28" s="59"/>
      <c r="B28" s="59"/>
      <c r="C28" s="61"/>
      <c r="D28" s="43"/>
      <c r="E28" s="62"/>
      <c r="F28" s="63"/>
      <c r="G28" s="64"/>
      <c r="H28" s="65"/>
      <c r="I28" s="38"/>
      <c r="J28" s="38"/>
      <c r="K28" s="38"/>
      <c r="N28" s="22" t="s">
        <v>24</v>
      </c>
      <c r="O28" s="22" t="n">
        <v>100000</v>
      </c>
      <c r="P28" s="24" t="s">
        <v>25</v>
      </c>
      <c r="Q28" s="10"/>
      <c r="R28" s="31" t="n">
        <f>SUM(S20:S25)</f>
        <v>33166666.6666666</v>
      </c>
      <c r="S28" s="39" t="s">
        <v>26</v>
      </c>
      <c r="T28" s="40"/>
      <c r="U28" s="41" t="n">
        <f>R28/R29</f>
        <v>0.931647940074905</v>
      </c>
    </row>
    <row r="29" ht="16.5" customHeight="1">
      <c r="A29" s="42"/>
      <c r="B29" s="42"/>
      <c r="C29" s="61"/>
      <c r="D29" s="43"/>
      <c r="E29" s="61"/>
      <c r="F29" s="63"/>
      <c r="G29" s="64"/>
      <c r="H29" s="65"/>
      <c r="I29" s="38"/>
      <c r="J29" s="38"/>
      <c r="K29" s="38"/>
      <c r="N29" s="15"/>
      <c r="O29" s="15"/>
      <c r="P29" s="24" t="s">
        <v>27</v>
      </c>
      <c r="Q29" s="10"/>
      <c r="R29" s="24" t="n">
        <f>O27*O28</f>
        <v>35600000</v>
      </c>
      <c r="S29" s="39" t="s">
        <v>28</v>
      </c>
      <c r="T29" s="40"/>
      <c r="U29" s="41" t="n">
        <f>R29/R28</f>
        <v>1.07336683417086</v>
      </c>
    </row>
    <row r="30" ht="16.5" customHeight="1">
      <c r="A30" s="66"/>
      <c r="B30" s="38"/>
      <c r="C30" s="38"/>
      <c r="D30" s="38"/>
      <c r="E30" s="38"/>
      <c r="F30" s="38"/>
      <c r="G30" s="38"/>
      <c r="H30" s="38"/>
      <c r="I30" s="38"/>
      <c r="J30" s="38"/>
      <c r="K30" s="38"/>
      <c r="N30" s="34" t="s">
        <v>177</v>
      </c>
    </row>
    <row r="31" ht="16.5" customHeight="1">
      <c r="A31" s="34"/>
      <c r="N31" s="34" t="s">
        <v>187</v>
      </c>
    </row>
    <row r="32" ht="16.5" customHeight="1">
      <c r="A32" s="34"/>
      <c r="N32" s="34" t="s">
        <v>178</v>
      </c>
    </row>
    <row r="33" ht="16.5" customHeight="1">
      <c r="A33" s="34"/>
      <c r="N33" s="34" t="s">
        <v>179</v>
      </c>
    </row>
  </sheetData>
  <mergeCells count="32">
    <mergeCell ref="F10:G10"/>
    <mergeCell ref="F11:G11"/>
    <mergeCell ref="A1:H1"/>
    <mergeCell ref="A2:H2"/>
    <mergeCell ref="C10:D10"/>
    <mergeCell ref="C11:D11"/>
    <mergeCell ref="C12:D12"/>
    <mergeCell ref="F12:G12"/>
    <mergeCell ref="F27:G27"/>
    <mergeCell ref="F28:G28"/>
    <mergeCell ref="A17:H17"/>
    <mergeCell ref="A18:H18"/>
    <mergeCell ref="C27:D27"/>
    <mergeCell ref="C28:D28"/>
    <mergeCell ref="C29:D29"/>
    <mergeCell ref="F29:G29"/>
    <mergeCell ref="S10:T10"/>
    <mergeCell ref="S11:T11"/>
    <mergeCell ref="N1:U1"/>
    <mergeCell ref="N2:U2"/>
    <mergeCell ref="P10:Q10"/>
    <mergeCell ref="P11:Q11"/>
    <mergeCell ref="P12:Q12"/>
    <mergeCell ref="S12:T12"/>
    <mergeCell ref="S27:T27"/>
    <mergeCell ref="S28:T28"/>
    <mergeCell ref="N17:U17"/>
    <mergeCell ref="N18:U18"/>
    <mergeCell ref="P27:Q27"/>
    <mergeCell ref="P28:Q28"/>
    <mergeCell ref="P29:Q29"/>
    <mergeCell ref="S29:T29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8" max="8" width="50.138671875" customWidth="1"/>
    <col min="10" max="10" width="11.748046875" customWidth="1"/>
  </cols>
  <sheetData>
    <row r="1" ht="16.5" customHeight="1">
      <c r="A1" s="30" t="s">
        <v>188</v>
      </c>
      <c r="B1" s="27"/>
      <c r="C1" s="27"/>
      <c r="D1" s="27"/>
      <c r="E1" s="27"/>
      <c r="F1" s="27"/>
      <c r="G1" s="27"/>
      <c r="H1" s="28"/>
      <c r="I1" s="9"/>
      <c r="J1" s="9"/>
      <c r="K1" s="9"/>
      <c r="L1" s="9"/>
      <c r="O1" s="30" t="s">
        <v>188</v>
      </c>
      <c r="P1" s="27"/>
      <c r="Q1" s="27"/>
      <c r="R1" s="27"/>
      <c r="S1" s="27"/>
      <c r="T1" s="27"/>
      <c r="U1" s="27"/>
      <c r="V1" s="28"/>
      <c r="W1" s="9"/>
      <c r="X1" s="9"/>
      <c r="Y1" s="9"/>
      <c r="Z1" s="9"/>
    </row>
    <row r="2" ht="16.5" customHeight="1">
      <c r="A2" s="15" t="s">
        <v>189</v>
      </c>
      <c r="B2" s="10"/>
      <c r="C2" s="10"/>
      <c r="D2" s="10"/>
      <c r="E2" s="10"/>
      <c r="F2" s="10"/>
      <c r="G2" s="10"/>
      <c r="H2" s="10"/>
      <c r="I2" s="9"/>
      <c r="J2" s="9"/>
      <c r="K2" s="9"/>
      <c r="L2" s="9"/>
      <c r="O2" s="15" t="s">
        <v>189</v>
      </c>
      <c r="P2" s="10"/>
      <c r="Q2" s="10"/>
      <c r="R2" s="10"/>
      <c r="S2" s="10"/>
      <c r="T2" s="10"/>
      <c r="U2" s="10"/>
      <c r="V2" s="10"/>
      <c r="W2" s="9"/>
      <c r="X2" s="9"/>
      <c r="Y2" s="9"/>
      <c r="Z2" s="9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10</v>
      </c>
      <c r="J3" s="9" t="s">
        <v>11</v>
      </c>
      <c r="K3" s="9" t="s">
        <v>12</v>
      </c>
      <c r="L3" s="9"/>
      <c r="O3" s="17" t="s">
        <v>2</v>
      </c>
      <c r="P3" s="15" t="s">
        <v>3</v>
      </c>
      <c r="Q3" s="18" t="s">
        <v>4</v>
      </c>
      <c r="R3" s="20" t="s">
        <v>5</v>
      </c>
      <c r="S3" s="17" t="s">
        <v>6</v>
      </c>
      <c r="T3" s="15" t="s">
        <v>7</v>
      </c>
      <c r="U3" s="15" t="s">
        <v>8</v>
      </c>
      <c r="V3" s="17" t="s">
        <v>9</v>
      </c>
      <c r="W3" s="9" t="s">
        <v>10</v>
      </c>
      <c r="X3" s="9" t="s">
        <v>11</v>
      </c>
      <c r="Y3" s="9" t="s">
        <v>12</v>
      </c>
      <c r="Z3" s="9"/>
    </row>
    <row r="4" ht="16.5" customHeight="1">
      <c r="A4" s="6" t="n">
        <v>10000</v>
      </c>
      <c r="B4" s="19" t="n">
        <v>0.4</v>
      </c>
      <c r="C4" s="7" t="n">
        <f>A4*B4/0.6</f>
        <v>6666.66666666667</v>
      </c>
      <c r="D4" s="76" t="n">
        <v>224</v>
      </c>
      <c r="E4" s="6" t="n">
        <f>A4*D4</f>
        <v>2240000</v>
      </c>
      <c r="F4" s="11" t="n">
        <f>C4*D4</f>
        <v>1493333.33333333</v>
      </c>
      <c r="G4" s="12" t="n">
        <f>D4/$B$18</f>
        <v>0.274509803921569</v>
      </c>
      <c r="H4" s="15" t="s">
        <v>87</v>
      </c>
      <c r="I4" s="5"/>
      <c r="J4" s="13"/>
      <c r="K4" s="13" t="n">
        <f>A4/5000</f>
        <v>2</v>
      </c>
      <c r="L4" s="13" t="n">
        <f>K4*D4</f>
        <v>448</v>
      </c>
      <c r="O4" s="6" t="n">
        <v>10000</v>
      </c>
      <c r="P4" s="19" t="n">
        <v>0.4</v>
      </c>
      <c r="Q4" s="7" t="n">
        <f>O4*P4/0.6</f>
        <v>6666.66666666667</v>
      </c>
      <c r="R4" s="83" t="n">
        <v>180</v>
      </c>
      <c r="S4" s="6" t="n">
        <f>O4*R4</f>
        <v>1800000</v>
      </c>
      <c r="T4" s="11" t="n">
        <f>Q4*R4</f>
        <v>1200000</v>
      </c>
      <c r="U4" s="12" t="n">
        <f>R4/$P$18</f>
        <v>0.523255813953488</v>
      </c>
      <c r="V4" s="15" t="s">
        <v>87</v>
      </c>
      <c r="W4" s="5"/>
      <c r="X4" s="13"/>
      <c r="Y4" s="13" t="n">
        <f>O4/5000</f>
        <v>2</v>
      </c>
      <c r="Z4" s="13" t="n">
        <f>Y4*R4</f>
        <v>360</v>
      </c>
    </row>
    <row r="5" ht="16.5" customHeight="1">
      <c r="A5" s="6" t="n">
        <v>52000</v>
      </c>
      <c r="B5" s="19" t="n">
        <v>0.4</v>
      </c>
      <c r="C5" s="7" t="n">
        <f>A5*B5/0.6</f>
        <v>34666.6666666667</v>
      </c>
      <c r="D5" s="20" t="n">
        <v>255</v>
      </c>
      <c r="E5" s="6" t="n">
        <f>A5*D5</f>
        <v>13260000</v>
      </c>
      <c r="F5" s="11" t="n">
        <f>C5*D5</f>
        <v>8840000.00000001</v>
      </c>
      <c r="G5" s="12" t="n">
        <f>D5/$B$18</f>
        <v>0.3125</v>
      </c>
      <c r="H5" s="15" t="s">
        <v>54</v>
      </c>
      <c r="I5" s="9"/>
      <c r="J5" s="13"/>
      <c r="K5" s="13" t="n">
        <f>A5/5000</f>
        <v>10.4</v>
      </c>
      <c r="L5" s="13" t="n">
        <f>K5*D5</f>
        <v>2652</v>
      </c>
      <c r="O5" s="6" t="n">
        <v>52000</v>
      </c>
      <c r="P5" s="19" t="n">
        <v>0.4</v>
      </c>
      <c r="Q5" s="7" t="n">
        <f>O5*P5/0.6</f>
        <v>34666.6666666667</v>
      </c>
      <c r="R5" s="20" t="n">
        <v>20</v>
      </c>
      <c r="S5" s="6" t="n">
        <f>O5*R5</f>
        <v>1040000</v>
      </c>
      <c r="T5" s="11" t="n">
        <f>Q5*R5</f>
        <v>693333.333333334</v>
      </c>
      <c r="U5" s="12" t="n">
        <f>R5/$P$18</f>
        <v>0.0581395348837209</v>
      </c>
      <c r="V5" s="15" t="s">
        <v>54</v>
      </c>
      <c r="W5" s="9"/>
      <c r="X5" s="13"/>
      <c r="Y5" s="13" t="n">
        <f>O5/5000</f>
        <v>10.4</v>
      </c>
      <c r="Z5" s="13" t="n">
        <f>Y5*R5</f>
        <v>208</v>
      </c>
    </row>
    <row r="6" ht="16.5" customHeight="1">
      <c r="A6" s="6" t="n">
        <v>88800</v>
      </c>
      <c r="B6" s="19" t="n">
        <v>0.6</v>
      </c>
      <c r="C6" s="7" t="n">
        <f>A6*B6/0.6</f>
        <v>88800</v>
      </c>
      <c r="D6" s="20" t="n">
        <v>10</v>
      </c>
      <c r="E6" s="6" t="n">
        <f>A6*D6</f>
        <v>888000</v>
      </c>
      <c r="F6" s="11" t="n">
        <f>C6*D6</f>
        <v>888000</v>
      </c>
      <c r="G6" s="12" t="n">
        <f>D6/$B$18</f>
        <v>0.0122549019607843</v>
      </c>
      <c r="H6" s="15" t="s">
        <v>190</v>
      </c>
      <c r="I6" s="9"/>
      <c r="J6" s="13"/>
      <c r="K6" s="13" t="n">
        <f>A6/5000</f>
        <v>17.76</v>
      </c>
      <c r="L6" s="13" t="n">
        <f>K6*D6</f>
        <v>177.6</v>
      </c>
      <c r="O6" s="6" t="n">
        <v>88800</v>
      </c>
      <c r="P6" s="19" t="n">
        <v>0.6</v>
      </c>
      <c r="Q6" s="7" t="n">
        <f>O6*P6/0.6</f>
        <v>88800</v>
      </c>
      <c r="R6" s="20" t="n">
        <v>5</v>
      </c>
      <c r="S6" s="6" t="n">
        <f>O6*R6</f>
        <v>444000</v>
      </c>
      <c r="T6" s="11" t="n">
        <f>Q6*R6</f>
        <v>444000</v>
      </c>
      <c r="U6" s="12" t="n">
        <f>R6/$P$18</f>
        <v>0.0145348837209302</v>
      </c>
      <c r="V6" s="15" t="s">
        <v>190</v>
      </c>
      <c r="W6" s="9"/>
      <c r="X6" s="13"/>
      <c r="Y6" s="13" t="n">
        <f>O6/5000</f>
        <v>17.76</v>
      </c>
      <c r="Z6" s="13" t="n">
        <f>Y6*R6</f>
        <v>88.8</v>
      </c>
    </row>
    <row r="7" ht="16.5" customHeight="1">
      <c r="A7" s="6" t="n">
        <v>100000</v>
      </c>
      <c r="B7" s="19" t="n">
        <v>0.4</v>
      </c>
      <c r="C7" s="7" t="n">
        <f>A7*B7/0.6</f>
        <v>66666.6666666667</v>
      </c>
      <c r="D7" s="20" t="n">
        <v>200</v>
      </c>
      <c r="E7" s="6" t="n">
        <f>A7*D7</f>
        <v>20000000</v>
      </c>
      <c r="F7" s="11" t="n">
        <f>C7*D7</f>
        <v>13333333.3333333</v>
      </c>
      <c r="G7" s="12" t="n">
        <f>D7/$B$18</f>
        <v>0.245098039215686</v>
      </c>
      <c r="H7" s="15" t="s">
        <v>57</v>
      </c>
      <c r="I7" s="5"/>
      <c r="J7" s="13"/>
      <c r="K7" s="13" t="n">
        <f>A7/5000</f>
        <v>20</v>
      </c>
      <c r="L7" s="13" t="n">
        <f>K7*D7</f>
        <v>4000</v>
      </c>
      <c r="O7" s="6" t="n">
        <v>100000</v>
      </c>
      <c r="P7" s="19" t="n">
        <v>0.4</v>
      </c>
      <c r="Q7" s="7" t="n">
        <f>O7*P7/0.6</f>
        <v>66666.6666666667</v>
      </c>
      <c r="R7" s="20" t="n">
        <v>50</v>
      </c>
      <c r="S7" s="6" t="n">
        <f>O7*R7</f>
        <v>5000000</v>
      </c>
      <c r="T7" s="11" t="n">
        <f>Q7*R7</f>
        <v>3333333.33333334</v>
      </c>
      <c r="U7" s="12" t="n">
        <f>R7/$P$18</f>
        <v>0.145348837209302</v>
      </c>
      <c r="V7" s="15" t="s">
        <v>57</v>
      </c>
      <c r="W7" s="5"/>
      <c r="X7" s="13"/>
      <c r="Y7" s="13" t="n">
        <f>O7/5000</f>
        <v>20</v>
      </c>
      <c r="Z7" s="13" t="n">
        <f>Y7*R7</f>
        <v>1000</v>
      </c>
    </row>
    <row r="8" ht="16.5" customHeight="1">
      <c r="A8" s="6" t="n">
        <v>200000</v>
      </c>
      <c r="B8" s="19" t="n">
        <v>0.4</v>
      </c>
      <c r="C8" s="7" t="n">
        <f>A8*B8/0.6</f>
        <v>133333.333333333</v>
      </c>
      <c r="D8" s="20" t="n">
        <v>50</v>
      </c>
      <c r="E8" s="6" t="n">
        <f>A8*D8</f>
        <v>10000000</v>
      </c>
      <c r="F8" s="11" t="n">
        <f>C8*D8</f>
        <v>6666666.66666665</v>
      </c>
      <c r="G8" s="12" t="n">
        <f>D8/$B$18</f>
        <v>0.0612745098039216</v>
      </c>
      <c r="H8" s="21" t="s">
        <v>191</v>
      </c>
      <c r="I8" s="5"/>
      <c r="J8" s="13"/>
      <c r="K8" s="13" t="n">
        <f>A8/5000</f>
        <v>40</v>
      </c>
      <c r="L8" s="13" t="n">
        <f>K8*D8</f>
        <v>2000</v>
      </c>
      <c r="O8" s="6" t="n">
        <v>200000</v>
      </c>
      <c r="P8" s="19" t="n">
        <v>0.4</v>
      </c>
      <c r="Q8" s="7" t="n">
        <f>O8*P8/0.6</f>
        <v>133333.333333333</v>
      </c>
      <c r="R8" s="20" t="n">
        <v>50</v>
      </c>
      <c r="S8" s="6" t="n">
        <f>O8*R8</f>
        <v>10000000</v>
      </c>
      <c r="T8" s="11" t="n">
        <f>Q8*R8</f>
        <v>6666666.66666665</v>
      </c>
      <c r="U8" s="12" t="n">
        <f>R8/$P$18</f>
        <v>0.145348837209302</v>
      </c>
      <c r="V8" s="21" t="s">
        <v>191</v>
      </c>
      <c r="W8" s="5"/>
      <c r="X8" s="13"/>
      <c r="Y8" s="13" t="n">
        <f>O8/5000</f>
        <v>40</v>
      </c>
      <c r="Z8" s="13" t="n">
        <f>Y8*R8</f>
        <v>2000</v>
      </c>
    </row>
    <row r="9" ht="16.5" customHeight="1">
      <c r="A9" s="6" t="n">
        <v>300000</v>
      </c>
      <c r="B9" s="19" t="n">
        <v>0.4</v>
      </c>
      <c r="C9" s="7" t="n">
        <f>A9*B9/0.6</f>
        <v>200000</v>
      </c>
      <c r="D9" s="20" t="n">
        <v>42</v>
      </c>
      <c r="E9" s="6" t="n">
        <f>A9*D9</f>
        <v>12600000</v>
      </c>
      <c r="F9" s="11" t="n">
        <f>C9*D9</f>
        <v>8400000</v>
      </c>
      <c r="G9" s="12" t="n">
        <f>D9/$B$18</f>
        <v>0.0514705882352941</v>
      </c>
      <c r="H9" s="15" t="s">
        <v>192</v>
      </c>
      <c r="I9" s="5"/>
      <c r="J9" s="13"/>
      <c r="K9" s="13" t="n">
        <f>A9/5000</f>
        <v>60</v>
      </c>
      <c r="L9" s="13" t="n">
        <f>K9*D9</f>
        <v>2520</v>
      </c>
      <c r="O9" s="6" t="n">
        <v>300000</v>
      </c>
      <c r="P9" s="19" t="n">
        <v>0.4</v>
      </c>
      <c r="Q9" s="7" t="n">
        <f>O9*P9/0.6</f>
        <v>200000</v>
      </c>
      <c r="R9" s="20" t="n">
        <v>20</v>
      </c>
      <c r="S9" s="6" t="n">
        <f>O9*R9</f>
        <v>6000000</v>
      </c>
      <c r="T9" s="11" t="n">
        <f>Q9*R9</f>
        <v>4000000</v>
      </c>
      <c r="U9" s="12" t="n">
        <f>R9/$P$18</f>
        <v>0.0581395348837209</v>
      </c>
      <c r="V9" s="15" t="s">
        <v>192</v>
      </c>
      <c r="W9" s="5"/>
      <c r="X9" s="13"/>
      <c r="Y9" s="13" t="n">
        <f>O9/5000</f>
        <v>60</v>
      </c>
      <c r="Z9" s="13" t="n">
        <f>Y9*R9</f>
        <v>1200</v>
      </c>
    </row>
    <row r="10" ht="16.5" customHeight="1">
      <c r="A10" s="6" t="n">
        <v>520000</v>
      </c>
      <c r="B10" s="19" t="n">
        <v>0.4</v>
      </c>
      <c r="C10" s="7" t="n">
        <f>A10*B10/0.6</f>
        <v>346666.666666667</v>
      </c>
      <c r="D10" s="20" t="n">
        <v>15</v>
      </c>
      <c r="E10" s="6" t="n">
        <f>A10*D10</f>
        <v>7800000</v>
      </c>
      <c r="F10" s="11" t="n">
        <f>C10*D10</f>
        <v>5200000.00000001</v>
      </c>
      <c r="G10" s="12" t="n">
        <f>D10/$B$18</f>
        <v>0.0183823529411765</v>
      </c>
      <c r="H10" s="67" t="s">
        <v>88</v>
      </c>
      <c r="I10" s="5"/>
      <c r="K10" s="13" t="n">
        <f>A10/5000</f>
        <v>104</v>
      </c>
      <c r="L10" s="13" t="n">
        <f>K10*D10</f>
        <v>1560</v>
      </c>
      <c r="O10" s="6" t="n">
        <v>520000</v>
      </c>
      <c r="P10" s="19" t="n">
        <v>0.4</v>
      </c>
      <c r="Q10" s="7" t="n">
        <f>O10*P10/0.6</f>
        <v>346666.666666667</v>
      </c>
      <c r="R10" s="20" t="n">
        <v>12</v>
      </c>
      <c r="S10" s="6" t="n">
        <f>O10*R10</f>
        <v>6240000</v>
      </c>
      <c r="T10" s="11" t="n">
        <f>Q10*R10</f>
        <v>4160000</v>
      </c>
      <c r="U10" s="12" t="n">
        <f>R10/$P$18</f>
        <v>0.0348837209302326</v>
      </c>
      <c r="V10" s="67" t="s">
        <v>88</v>
      </c>
      <c r="W10" s="5"/>
      <c r="Y10" s="13" t="n">
        <f>O10/5000</f>
        <v>104</v>
      </c>
      <c r="Z10" s="13" t="n">
        <f>Y10*R10</f>
        <v>1248</v>
      </c>
    </row>
    <row r="11" ht="16.5" customHeight="1">
      <c r="A11" s="69" t="n">
        <v>1000000</v>
      </c>
      <c r="B11" s="19" t="n">
        <v>0.4</v>
      </c>
      <c r="C11" s="7" t="n">
        <f>A11*B11/0.6</f>
        <v>666666.666666667</v>
      </c>
      <c r="D11" s="20" t="n">
        <v>11</v>
      </c>
      <c r="E11" s="6" t="n">
        <f>A11*D11</f>
        <v>11000000</v>
      </c>
      <c r="F11" s="11" t="n">
        <f>C11*D11</f>
        <v>7333333.33333334</v>
      </c>
      <c r="G11" s="12" t="n">
        <f>D11/$B$18</f>
        <v>0.0134803921568627</v>
      </c>
      <c r="H11" s="15" t="s">
        <v>193</v>
      </c>
      <c r="I11" s="9"/>
      <c r="K11" s="13" t="n">
        <f>A11/5000</f>
        <v>200</v>
      </c>
      <c r="L11" s="13" t="n">
        <f>K11*D11</f>
        <v>2200</v>
      </c>
      <c r="O11" s="69" t="n">
        <v>1000000</v>
      </c>
      <c r="P11" s="19" t="n">
        <v>0.4</v>
      </c>
      <c r="Q11" s="7" t="n">
        <f>O11*P11/0.6</f>
        <v>666666.666666667</v>
      </c>
      <c r="R11" s="20" t="n">
        <v>4</v>
      </c>
      <c r="S11" s="6" t="n">
        <f>O11*R11</f>
        <v>4000000</v>
      </c>
      <c r="T11" s="11" t="n">
        <f>Q11*R11</f>
        <v>2666666.66666667</v>
      </c>
      <c r="U11" s="12" t="n">
        <f>R11/$P$18</f>
        <v>0.0116279069767442</v>
      </c>
      <c r="V11" s="15" t="s">
        <v>193</v>
      </c>
      <c r="W11" s="9"/>
      <c r="Y11" s="13" t="n">
        <f>O11/5000</f>
        <v>200</v>
      </c>
      <c r="Z11" s="13" t="n">
        <f>Y11*R11</f>
        <v>800</v>
      </c>
    </row>
    <row r="12" ht="16.5" customHeight="1">
      <c r="A12" s="69" t="n">
        <v>1234000</v>
      </c>
      <c r="B12" s="19" t="n">
        <v>0.4</v>
      </c>
      <c r="C12" s="7" t="n">
        <f>A12*B12/0.6</f>
        <v>822666.666666667</v>
      </c>
      <c r="D12" s="20" t="n">
        <v>6</v>
      </c>
      <c r="E12" s="6" t="n">
        <f>A12*D12</f>
        <v>7404000</v>
      </c>
      <c r="F12" s="11" t="n">
        <f>C12*D12</f>
        <v>4936000</v>
      </c>
      <c r="G12" s="12" t="n">
        <f>D12/$B$18</f>
        <v>0.00735294117647059</v>
      </c>
      <c r="H12" s="15" t="s">
        <v>60</v>
      </c>
      <c r="I12" s="5"/>
      <c r="J12" s="13" t="s">
        <v>43</v>
      </c>
      <c r="K12" s="13" t="n">
        <f>A12/5000</f>
        <v>246.8</v>
      </c>
      <c r="L12" s="13" t="n">
        <f>K12*D12</f>
        <v>1480.8</v>
      </c>
      <c r="O12" s="69" t="n">
        <v>1234000</v>
      </c>
      <c r="P12" s="19" t="n">
        <v>0.4</v>
      </c>
      <c r="Q12" s="7" t="n">
        <f>O12*P12/0.6</f>
        <v>822666.666666667</v>
      </c>
      <c r="R12" s="20" t="n">
        <v>2</v>
      </c>
      <c r="S12" s="6" t="n">
        <f>O12*R12</f>
        <v>2468000</v>
      </c>
      <c r="T12" s="11" t="n">
        <f>Q12*R12</f>
        <v>1645333.33333333</v>
      </c>
      <c r="U12" s="12" t="n">
        <f>R12/$P$18</f>
        <v>0.00581395348837209</v>
      </c>
      <c r="V12" s="15" t="s">
        <v>60</v>
      </c>
      <c r="W12" s="5"/>
      <c r="X12" s="13" t="s">
        <v>43</v>
      </c>
      <c r="Y12" s="13" t="n">
        <f>O12/5000</f>
        <v>246.8</v>
      </c>
      <c r="Z12" s="13" t="n">
        <f>Y12*R12</f>
        <v>493.6</v>
      </c>
    </row>
    <row r="13" ht="16.5" customHeight="1">
      <c r="A13" s="69" t="n">
        <v>5000000</v>
      </c>
      <c r="B13" s="19" t="n">
        <v>0.4</v>
      </c>
      <c r="C13" s="7" t="n">
        <f>A13*B13/0.6</f>
        <v>3333333.33333333</v>
      </c>
      <c r="D13" s="20" t="n">
        <v>3</v>
      </c>
      <c r="E13" s="6" t="n">
        <f>A13*D13</f>
        <v>15000000</v>
      </c>
      <c r="F13" s="11" t="n">
        <f>C13*D13</f>
        <v>9999999.99999999</v>
      </c>
      <c r="G13" s="12" t="n">
        <f>D13/$B$18</f>
        <v>0.00367647058823529</v>
      </c>
      <c r="H13" s="15" t="s">
        <v>194</v>
      </c>
      <c r="I13" s="5"/>
      <c r="J13" s="13" t="s">
        <v>43</v>
      </c>
      <c r="K13" s="13" t="n">
        <f>A13/5000</f>
        <v>1000</v>
      </c>
      <c r="L13" s="13" t="n">
        <f>K13*D13</f>
        <v>3000</v>
      </c>
      <c r="O13" s="69" t="n">
        <v>5000000</v>
      </c>
      <c r="P13" s="19" t="n">
        <v>0.4</v>
      </c>
      <c r="Q13" s="7" t="n">
        <f>O13*P13/0.6</f>
        <v>3333333.33333333</v>
      </c>
      <c r="R13" s="20" t="n">
        <v>1</v>
      </c>
      <c r="S13" s="6" t="n">
        <f>O13*R13</f>
        <v>5000000</v>
      </c>
      <c r="T13" s="11" t="n">
        <f>Q13*R13</f>
        <v>3333333.33333333</v>
      </c>
      <c r="U13" s="12" t="n">
        <f>R13/$P$18</f>
        <v>0.00290697674418605</v>
      </c>
      <c r="V13" s="15" t="s">
        <v>194</v>
      </c>
      <c r="W13" s="5"/>
      <c r="X13" s="13" t="s">
        <v>43</v>
      </c>
      <c r="Y13" s="13" t="n">
        <f>O13/5000</f>
        <v>1000</v>
      </c>
      <c r="Z13" s="13" t="n">
        <f>Y13*R13</f>
        <v>1000</v>
      </c>
    </row>
    <row r="14" ht="16.5" customHeight="1">
      <c r="A14" s="6"/>
      <c r="B14" s="17"/>
      <c r="C14" s="17"/>
      <c r="D14" s="17"/>
      <c r="E14" s="17"/>
      <c r="F14" s="17"/>
      <c r="G14" s="17"/>
      <c r="H14" s="17"/>
      <c r="I14" s="9"/>
      <c r="J14" s="9"/>
      <c r="K14" s="9"/>
      <c r="L14" s="9"/>
      <c r="O14" s="6"/>
      <c r="P14" s="17"/>
      <c r="Q14" s="17"/>
      <c r="R14" s="17"/>
      <c r="S14" s="17"/>
      <c r="T14" s="17"/>
      <c r="U14" s="17"/>
      <c r="V14" s="17"/>
      <c r="W14" s="9"/>
      <c r="X14" s="9"/>
      <c r="Y14" s="9"/>
      <c r="Z14" s="9"/>
    </row>
    <row r="15" ht="16.5" customHeight="1">
      <c r="A15" s="6"/>
      <c r="B15" s="17"/>
      <c r="C15" s="17"/>
      <c r="D15" s="17"/>
      <c r="E15" s="17"/>
      <c r="F15" s="17"/>
      <c r="G15" s="17"/>
      <c r="H15" s="17"/>
      <c r="I15" s="9"/>
      <c r="J15" s="9"/>
      <c r="K15" s="9"/>
      <c r="L15" s="9"/>
      <c r="O15" s="6"/>
      <c r="P15" s="17"/>
      <c r="Q15" s="17"/>
      <c r="R15" s="17"/>
      <c r="S15" s="17"/>
      <c r="T15" s="17"/>
      <c r="U15" s="17"/>
      <c r="V15" s="17"/>
      <c r="W15" s="9"/>
      <c r="X15" s="9"/>
      <c r="Y15" s="9"/>
      <c r="Z15" s="9"/>
    </row>
    <row r="16" ht="16.5" customHeight="1">
      <c r="A16" s="6"/>
      <c r="B16" s="17"/>
      <c r="C16" s="17"/>
      <c r="D16" s="17"/>
      <c r="E16" s="17"/>
      <c r="F16" s="17"/>
      <c r="G16" s="17"/>
      <c r="H16" s="17"/>
      <c r="I16" s="9"/>
      <c r="J16" s="9"/>
      <c r="K16" s="9"/>
      <c r="L16" s="9"/>
      <c r="O16" s="6"/>
      <c r="P16" s="17"/>
      <c r="Q16" s="17"/>
      <c r="R16" s="17"/>
      <c r="S16" s="17"/>
      <c r="T16" s="17"/>
      <c r="U16" s="17"/>
      <c r="V16" s="17"/>
      <c r="W16" s="9"/>
      <c r="X16" s="9"/>
      <c r="Y16" s="9"/>
      <c r="Z16" s="9"/>
    </row>
    <row r="17" ht="16.5" customHeight="1">
      <c r="A17" s="6"/>
      <c r="B17" s="17"/>
      <c r="C17" s="17"/>
      <c r="D17" s="17"/>
      <c r="E17" s="17"/>
      <c r="F17" s="17"/>
      <c r="G17" s="17"/>
      <c r="H17" s="17"/>
      <c r="I17" s="9"/>
      <c r="J17" s="9"/>
      <c r="K17" s="9"/>
      <c r="L17" s="9"/>
      <c r="O17" s="6"/>
      <c r="P17" s="17"/>
      <c r="Q17" s="17"/>
      <c r="R17" s="17"/>
      <c r="S17" s="17"/>
      <c r="T17" s="17"/>
      <c r="U17" s="17"/>
      <c r="V17" s="17"/>
      <c r="W17" s="9"/>
      <c r="X17" s="9"/>
      <c r="Y17" s="9"/>
      <c r="Z17" s="9"/>
    </row>
    <row r="18" ht="16.5" customHeight="1">
      <c r="A18" s="22" t="s">
        <v>21</v>
      </c>
      <c r="B18" s="23" t="n">
        <f>SUM(D4:D13)</f>
        <v>816</v>
      </c>
      <c r="C18" s="24" t="s">
        <v>22</v>
      </c>
      <c r="D18" s="10"/>
      <c r="E18" s="31" t="n">
        <f>SUM(E4:E13)</f>
        <v>100192000</v>
      </c>
      <c r="F18" s="39" t="s">
        <v>23</v>
      </c>
      <c r="G18" s="40"/>
      <c r="H18" s="41" t="n">
        <f>E18/E20</f>
        <v>1.3998613998614</v>
      </c>
      <c r="I18" s="9"/>
      <c r="J18" s="9"/>
      <c r="K18" s="9"/>
      <c r="L18" s="9"/>
      <c r="O18" s="22" t="s">
        <v>21</v>
      </c>
      <c r="P18" s="23" t="n">
        <f>SUM(R4:R13)</f>
        <v>344</v>
      </c>
      <c r="Q18" s="24" t="s">
        <v>22</v>
      </c>
      <c r="R18" s="10"/>
      <c r="S18" s="31" t="n">
        <f>SUM(S4:S13)</f>
        <v>41992000</v>
      </c>
      <c r="T18" s="39" t="s">
        <v>23</v>
      </c>
      <c r="U18" s="40"/>
      <c r="V18" s="41" t="n">
        <f>S18/S20</f>
        <v>1.39493475776662</v>
      </c>
      <c r="W18" s="9"/>
      <c r="X18" s="9"/>
      <c r="Y18" s="9"/>
      <c r="Z18" s="9"/>
    </row>
    <row r="19" ht="16.5" customHeight="1">
      <c r="A19" s="22" t="s">
        <v>24</v>
      </c>
      <c r="B19" s="22" t="n">
        <v>88800</v>
      </c>
      <c r="C19" s="24" t="s">
        <v>25</v>
      </c>
      <c r="D19" s="10"/>
      <c r="E19" s="31" t="n">
        <f>SUM(F4:F13)</f>
        <v>67090666.6666666</v>
      </c>
      <c r="F19" s="39" t="s">
        <v>26</v>
      </c>
      <c r="G19" s="40"/>
      <c r="H19" s="41" t="n">
        <f>E19/E20</f>
        <v>0.937376582537872</v>
      </c>
      <c r="I19" s="9"/>
      <c r="J19" s="9"/>
      <c r="K19" s="9"/>
      <c r="L19" s="9"/>
      <c r="O19" s="22" t="s">
        <v>24</v>
      </c>
      <c r="P19" s="22" t="n">
        <v>88800</v>
      </c>
      <c r="Q19" s="24" t="s">
        <v>25</v>
      </c>
      <c r="R19" s="10"/>
      <c r="S19" s="31" t="n">
        <f>SUM(T4:T13)</f>
        <v>28142666.6666667</v>
      </c>
      <c r="T19" s="39" t="s">
        <v>26</v>
      </c>
      <c r="U19" s="40"/>
      <c r="V19" s="41" t="n">
        <f>S19/S20</f>
        <v>0.93487292602337</v>
      </c>
      <c r="W19" s="9"/>
      <c r="X19" s="9"/>
      <c r="Y19" s="9"/>
      <c r="Z19" s="9"/>
    </row>
    <row r="20" ht="16.5" customHeight="1">
      <c r="A20" s="15"/>
      <c r="B20" s="15"/>
      <c r="C20" s="24" t="s">
        <v>27</v>
      </c>
      <c r="D20" s="10"/>
      <c r="E20" s="8" t="n">
        <f>B18*B19-D6*A6</f>
        <v>71572800</v>
      </c>
      <c r="F20" s="39" t="s">
        <v>28</v>
      </c>
      <c r="G20" s="40"/>
      <c r="H20" s="41" t="n">
        <f>E20/E19</f>
        <v>1.06680710680075</v>
      </c>
      <c r="I20" s="9"/>
      <c r="J20" s="9"/>
      <c r="K20" s="9"/>
      <c r="L20" s="9"/>
      <c r="O20" s="15"/>
      <c r="P20" s="15"/>
      <c r="Q20" s="24" t="s">
        <v>27</v>
      </c>
      <c r="R20" s="10"/>
      <c r="S20" s="8" t="n">
        <f>P18*P19-R6*O6</f>
        <v>30103200</v>
      </c>
      <c r="T20" s="39" t="s">
        <v>28</v>
      </c>
      <c r="U20" s="40"/>
      <c r="V20" s="41" t="n">
        <f>S20/S19</f>
        <v>1.06966409248117</v>
      </c>
      <c r="W20" s="9"/>
      <c r="X20" s="9"/>
      <c r="Y20" s="9"/>
      <c r="Z20" s="9"/>
    </row>
    <row r="23" ht="16.5" customHeight="1">
      <c r="A23" s="30" t="s">
        <v>195</v>
      </c>
      <c r="B23" s="27"/>
      <c r="C23" s="27"/>
      <c r="D23" s="27"/>
      <c r="E23" s="27"/>
      <c r="F23" s="27"/>
      <c r="G23" s="27"/>
      <c r="H23" s="28"/>
      <c r="I23" s="9"/>
      <c r="J23" s="9"/>
      <c r="K23" s="9"/>
      <c r="L23" s="9"/>
      <c r="O23" s="30" t="s">
        <v>195</v>
      </c>
      <c r="P23" s="27"/>
      <c r="Q23" s="27"/>
      <c r="R23" s="27"/>
      <c r="S23" s="27"/>
      <c r="T23" s="27"/>
      <c r="U23" s="27"/>
      <c r="V23" s="28"/>
      <c r="W23" s="9"/>
      <c r="X23" s="9"/>
      <c r="Y23" s="9"/>
      <c r="Z23" s="9"/>
    </row>
    <row r="24" ht="16.5" customHeight="1">
      <c r="A24" s="15" t="s">
        <v>196</v>
      </c>
      <c r="B24" s="10"/>
      <c r="C24" s="10"/>
      <c r="D24" s="10"/>
      <c r="E24" s="10"/>
      <c r="F24" s="10"/>
      <c r="G24" s="10"/>
      <c r="H24" s="10"/>
      <c r="I24" s="9"/>
      <c r="J24" s="9"/>
      <c r="K24" s="9"/>
      <c r="L24" s="9"/>
      <c r="O24" s="15" t="s">
        <v>196</v>
      </c>
      <c r="P24" s="10"/>
      <c r="Q24" s="10"/>
      <c r="R24" s="10"/>
      <c r="S24" s="10"/>
      <c r="T24" s="10"/>
      <c r="U24" s="10"/>
      <c r="V24" s="10"/>
      <c r="W24" s="9"/>
      <c r="X24" s="9"/>
      <c r="Y24" s="9"/>
      <c r="Z24" s="9"/>
    </row>
    <row r="25" ht="16.5" customHeight="1">
      <c r="A25" s="17" t="s">
        <v>2</v>
      </c>
      <c r="B25" s="15" t="s">
        <v>3</v>
      </c>
      <c r="C25" s="18" t="s">
        <v>4</v>
      </c>
      <c r="D25" s="20" t="s">
        <v>5</v>
      </c>
      <c r="E25" s="17" t="s">
        <v>6</v>
      </c>
      <c r="F25" s="15" t="s">
        <v>7</v>
      </c>
      <c r="G25" s="15" t="s">
        <v>8</v>
      </c>
      <c r="H25" s="17" t="s">
        <v>9</v>
      </c>
      <c r="I25" s="9" t="s">
        <v>10</v>
      </c>
      <c r="J25" s="9" t="s">
        <v>11</v>
      </c>
      <c r="K25" s="9" t="s">
        <v>12</v>
      </c>
      <c r="L25" s="9"/>
      <c r="O25" s="17" t="s">
        <v>2</v>
      </c>
      <c r="P25" s="15" t="s">
        <v>3</v>
      </c>
      <c r="Q25" s="18" t="s">
        <v>4</v>
      </c>
      <c r="R25" s="20" t="s">
        <v>5</v>
      </c>
      <c r="S25" s="17" t="s">
        <v>6</v>
      </c>
      <c r="T25" s="15" t="s">
        <v>7</v>
      </c>
      <c r="U25" s="15" t="s">
        <v>8</v>
      </c>
      <c r="V25" s="17" t="s">
        <v>9</v>
      </c>
      <c r="W25" s="9" t="s">
        <v>10</v>
      </c>
      <c r="X25" s="9" t="s">
        <v>11</v>
      </c>
      <c r="Y25" s="9" t="s">
        <v>12</v>
      </c>
      <c r="Z25" s="9"/>
    </row>
    <row r="26" ht="16.5" customHeight="1">
      <c r="A26" s="6" t="n">
        <v>20000</v>
      </c>
      <c r="B26" s="19" t="n">
        <v>0.4</v>
      </c>
      <c r="C26" s="7" t="n">
        <f>A26*B26/0.6</f>
        <v>13333.3333333333</v>
      </c>
      <c r="D26" s="76" t="n">
        <v>71</v>
      </c>
      <c r="E26" s="6" t="n">
        <f>A26*D26</f>
        <v>1420000</v>
      </c>
      <c r="F26" s="11" t="n">
        <f>C26*D26</f>
        <v>946666.666666664</v>
      </c>
      <c r="G26" s="12" t="n">
        <f>D26/$B$43</f>
        <v>0.21580547112462</v>
      </c>
      <c r="H26" s="15" t="s">
        <v>115</v>
      </c>
      <c r="I26" s="5"/>
      <c r="J26" s="13"/>
      <c r="K26" s="13" t="n">
        <f>A26/5000</f>
        <v>4</v>
      </c>
      <c r="L26" s="13" t="n">
        <f>K26*D26</f>
        <v>284</v>
      </c>
      <c r="O26" s="6" t="n">
        <v>20000</v>
      </c>
      <c r="P26" s="19" t="n">
        <v>0.4</v>
      </c>
      <c r="Q26" s="7" t="n">
        <f>O26*P26/0.6</f>
        <v>13333.3333333333</v>
      </c>
      <c r="R26" s="83" t="n">
        <v>50</v>
      </c>
      <c r="S26" s="6" t="n">
        <f>O26*R26</f>
        <v>1000000</v>
      </c>
      <c r="T26" s="11" t="n">
        <f>Q26*R26</f>
        <v>666666.666666665</v>
      </c>
      <c r="U26" s="12" t="n">
        <f>R26/$P$43</f>
        <v>0.223214285714286</v>
      </c>
      <c r="V26" s="15" t="s">
        <v>115</v>
      </c>
      <c r="W26" s="5"/>
      <c r="X26" s="13"/>
      <c r="Y26" s="13" t="n">
        <f>O26/5000</f>
        <v>4</v>
      </c>
      <c r="Z26" s="13" t="n">
        <f>Y26*R26</f>
        <v>200</v>
      </c>
    </row>
    <row r="27" ht="16.5" customHeight="1">
      <c r="A27" s="6" t="n">
        <v>52000</v>
      </c>
      <c r="B27" s="19" t="n">
        <v>0.4</v>
      </c>
      <c r="C27" s="7" t="n">
        <f>A27*B27/0.6</f>
        <v>34666.6666666667</v>
      </c>
      <c r="D27" s="20" t="n">
        <v>90</v>
      </c>
      <c r="E27" s="6" t="n">
        <f>A27*D27</f>
        <v>4680000</v>
      </c>
      <c r="F27" s="11" t="n">
        <f>C27*D27</f>
        <v>3120000</v>
      </c>
      <c r="G27" s="12" t="n">
        <f>D27/$B$43</f>
        <v>0.27355623100304</v>
      </c>
      <c r="H27" s="15" t="s">
        <v>54</v>
      </c>
      <c r="I27" s="9"/>
      <c r="J27" s="13"/>
      <c r="K27" s="13" t="n">
        <f>A27/5000</f>
        <v>10.4</v>
      </c>
      <c r="L27" s="13" t="n">
        <f>K27*D27</f>
        <v>936</v>
      </c>
      <c r="O27" s="6" t="n">
        <v>52000</v>
      </c>
      <c r="P27" s="19" t="n">
        <v>0.4</v>
      </c>
      <c r="Q27" s="7" t="n">
        <f>O27*P27/0.6</f>
        <v>34666.6666666667</v>
      </c>
      <c r="R27" s="20" t="n">
        <v>20</v>
      </c>
      <c r="S27" s="6" t="n">
        <f>O27*R27</f>
        <v>1040000</v>
      </c>
      <c r="T27" s="11" t="n">
        <f>Q27*R27</f>
        <v>693333.333333334</v>
      </c>
      <c r="U27" s="12" t="n">
        <f>R27/$P$43</f>
        <v>0.0892857142857143</v>
      </c>
      <c r="V27" s="15" t="s">
        <v>54</v>
      </c>
      <c r="W27" s="9"/>
      <c r="X27" s="13"/>
      <c r="Y27" s="13" t="n">
        <f>O27/5000</f>
        <v>10.4</v>
      </c>
      <c r="Z27" s="13" t="n">
        <f>Y27*R27</f>
        <v>208</v>
      </c>
    </row>
    <row r="28" ht="16.5" customHeight="1">
      <c r="A28" s="6" t="n">
        <f>88800</f>
        <v>88800</v>
      </c>
      <c r="B28" s="19" t="n">
        <v>0.6</v>
      </c>
      <c r="C28" s="7" t="n">
        <f>A28*B28/0.6</f>
        <v>88800</v>
      </c>
      <c r="D28" s="20" t="n">
        <v>10</v>
      </c>
      <c r="E28" s="6" t="n">
        <f>A28*D28</f>
        <v>888000</v>
      </c>
      <c r="F28" s="11" t="n">
        <f>C28*D28</f>
        <v>888000</v>
      </c>
      <c r="G28" s="12" t="n">
        <f>D28/$B$43</f>
        <v>0.0303951367781155</v>
      </c>
      <c r="H28" s="15" t="s">
        <v>190</v>
      </c>
      <c r="I28" s="9"/>
      <c r="J28" s="13"/>
      <c r="K28" s="13" t="n">
        <f>A28/5000</f>
        <v>17.76</v>
      </c>
      <c r="L28" s="13" t="n">
        <f>K28*D28</f>
        <v>177.6</v>
      </c>
      <c r="O28" s="6" t="n">
        <f>88800</f>
        <v>88800</v>
      </c>
      <c r="P28" s="19" t="n">
        <v>0.6</v>
      </c>
      <c r="Q28" s="7" t="n">
        <f>O28*P28/0.6</f>
        <v>88800</v>
      </c>
      <c r="R28" s="20" t="n">
        <v>10</v>
      </c>
      <c r="S28" s="6" t="n">
        <f>O28*R28</f>
        <v>888000</v>
      </c>
      <c r="T28" s="11" t="n">
        <f>Q28*R28</f>
        <v>888000</v>
      </c>
      <c r="U28" s="12" t="n">
        <f>R28/$P$43</f>
        <v>0.0446428571428571</v>
      </c>
      <c r="V28" s="15" t="s">
        <v>190</v>
      </c>
      <c r="W28" s="9"/>
      <c r="X28" s="13"/>
      <c r="Y28" s="13" t="n">
        <f>O28/5000</f>
        <v>17.76</v>
      </c>
      <c r="Z28" s="13" t="n">
        <f>Y28*R28</f>
        <v>177.6</v>
      </c>
    </row>
    <row r="29" ht="16.5" customHeight="1">
      <c r="A29" s="6" t="n">
        <v>100000</v>
      </c>
      <c r="B29" s="19" t="n">
        <v>0.4</v>
      </c>
      <c r="C29" s="7" t="n">
        <f>A29*B29/0.6</f>
        <v>66666.6666666667</v>
      </c>
      <c r="D29" s="20" t="n">
        <v>0</v>
      </c>
      <c r="E29" s="6" t="n">
        <f>A29*D29</f>
        <v>0</v>
      </c>
      <c r="F29" s="11" t="n">
        <f>C29*D29</f>
        <v>0</v>
      </c>
      <c r="G29" s="12" t="n">
        <f>D29/$B$43</f>
        <v>0</v>
      </c>
      <c r="H29" s="15"/>
      <c r="I29" s="5"/>
      <c r="J29" s="13"/>
      <c r="K29" s="13" t="n">
        <f>A29/5000</f>
        <v>20</v>
      </c>
      <c r="L29" s="13" t="n">
        <f>K29*D29</f>
        <v>0</v>
      </c>
      <c r="O29" s="6" t="n">
        <v>100000</v>
      </c>
      <c r="P29" s="19" t="n">
        <v>0.4</v>
      </c>
      <c r="Q29" s="7" t="n">
        <f>O29*P29/0.6</f>
        <v>66666.6666666667</v>
      </c>
      <c r="R29" s="20" t="n">
        <v>0</v>
      </c>
      <c r="S29" s="6" t="n">
        <f>O29*R29</f>
        <v>0</v>
      </c>
      <c r="T29" s="11" t="n">
        <f>Q29*R29</f>
        <v>0</v>
      </c>
      <c r="U29" s="12" t="n">
        <f>R29/$P$43</f>
        <v>0</v>
      </c>
      <c r="V29" s="15"/>
      <c r="W29" s="5"/>
      <c r="X29" s="13"/>
      <c r="Y29" s="13" t="n">
        <f>O29/5000</f>
        <v>20</v>
      </c>
      <c r="Z29" s="13" t="n">
        <f>Y29*R29</f>
        <v>0</v>
      </c>
    </row>
    <row r="30" ht="16.5" customHeight="1">
      <c r="A30" s="6" t="n">
        <v>200000</v>
      </c>
      <c r="B30" s="19" t="n">
        <v>0.4</v>
      </c>
      <c r="C30" s="7" t="n">
        <f>A30*B30/0.6</f>
        <v>133333.333333333</v>
      </c>
      <c r="D30" s="20" t="n">
        <v>100</v>
      </c>
      <c r="E30" s="6" t="n">
        <f>A30*D30</f>
        <v>20000000</v>
      </c>
      <c r="F30" s="11" t="n">
        <f>C30*D30</f>
        <v>13333333.3333333</v>
      </c>
      <c r="G30" s="12" t="n">
        <f>D30/$B$43</f>
        <v>0.303951367781155</v>
      </c>
      <c r="H30" s="15" t="s">
        <v>197</v>
      </c>
      <c r="I30" s="5"/>
      <c r="J30" s="13"/>
      <c r="K30" s="13" t="n">
        <f>A30/5000</f>
        <v>40</v>
      </c>
      <c r="L30" s="13" t="n">
        <f>K30*D30</f>
        <v>4000</v>
      </c>
      <c r="O30" s="6" t="n">
        <v>200000</v>
      </c>
      <c r="P30" s="19" t="n">
        <v>0.4</v>
      </c>
      <c r="Q30" s="7" t="n">
        <f>O30*P30/0.6</f>
        <v>133333.333333333</v>
      </c>
      <c r="R30" s="20" t="n">
        <v>100</v>
      </c>
      <c r="S30" s="6" t="n">
        <f>O30*R30</f>
        <v>20000000</v>
      </c>
      <c r="T30" s="11" t="n">
        <f>Q30*R30</f>
        <v>13333333.3333333</v>
      </c>
      <c r="U30" s="12" t="n">
        <f>R30/$P$43</f>
        <v>0.446428571428571</v>
      </c>
      <c r="V30" s="15" t="s">
        <v>197</v>
      </c>
      <c r="W30" s="5"/>
      <c r="X30" s="13"/>
      <c r="Y30" s="13" t="n">
        <f>O30/5000</f>
        <v>40</v>
      </c>
      <c r="Z30" s="13" t="n">
        <f>Y30*R30</f>
        <v>4000</v>
      </c>
    </row>
    <row r="31" ht="16.5" customHeight="1">
      <c r="A31" s="6" t="n">
        <v>300000</v>
      </c>
      <c r="B31" s="19" t="n">
        <v>0.4</v>
      </c>
      <c r="C31" s="7" t="n">
        <f>A31*B31/0.6</f>
        <v>200000</v>
      </c>
      <c r="D31" s="20" t="n">
        <v>27</v>
      </c>
      <c r="E31" s="6" t="n">
        <f>A31*D31</f>
        <v>8100000</v>
      </c>
      <c r="F31" s="11" t="n">
        <f>C31*D31</f>
        <v>5400000</v>
      </c>
      <c r="G31" s="12" t="n">
        <f>D31/$B$43</f>
        <v>0.0820668693009119</v>
      </c>
      <c r="H31" s="15" t="s">
        <v>192</v>
      </c>
      <c r="I31" s="5"/>
      <c r="J31" s="13"/>
      <c r="K31" s="13" t="n">
        <f>A31/5000</f>
        <v>60</v>
      </c>
      <c r="L31" s="13" t="n">
        <f>K31*D31</f>
        <v>1620</v>
      </c>
      <c r="O31" s="6" t="n">
        <v>300000</v>
      </c>
      <c r="P31" s="19" t="n">
        <v>0.4</v>
      </c>
      <c r="Q31" s="7" t="n">
        <f>O31*P31/0.6</f>
        <v>200000</v>
      </c>
      <c r="R31" s="20" t="n">
        <v>25</v>
      </c>
      <c r="S31" s="6" t="n">
        <f>O31*R31</f>
        <v>7500000</v>
      </c>
      <c r="T31" s="11" t="n">
        <f>Q31*R31</f>
        <v>5000000</v>
      </c>
      <c r="U31" s="12" t="n">
        <f>R31/$P$43</f>
        <v>0.111607142857143</v>
      </c>
      <c r="V31" s="15" t="s">
        <v>192</v>
      </c>
      <c r="W31" s="5"/>
      <c r="X31" s="13"/>
      <c r="Y31" s="13" t="n">
        <f>O31/5000</f>
        <v>60</v>
      </c>
      <c r="Z31" s="13" t="n">
        <f>Y31*R31</f>
        <v>1500</v>
      </c>
    </row>
    <row r="32" ht="16.5" customHeight="1">
      <c r="A32" s="6" t="n">
        <v>388000</v>
      </c>
      <c r="B32" s="19" t="n">
        <v>0.4</v>
      </c>
      <c r="C32" s="7" t="n">
        <f>A32*B32/0.6</f>
        <v>258666.666666667</v>
      </c>
      <c r="D32" s="20" t="n">
        <v>0</v>
      </c>
      <c r="E32" s="6" t="n">
        <f>A32*D32</f>
        <v>0</v>
      </c>
      <c r="F32" s="11" t="n">
        <f>C32*D32</f>
        <v>0</v>
      </c>
      <c r="G32" s="12" t="n">
        <f>D32/$B$43</f>
        <v>0</v>
      </c>
      <c r="H32" s="15"/>
      <c r="I32" s="9"/>
      <c r="J32" s="13"/>
      <c r="K32" s="13" t="n">
        <f>A32/5000</f>
        <v>77.6</v>
      </c>
      <c r="L32" s="13" t="n">
        <f>K32*D32</f>
        <v>0</v>
      </c>
      <c r="O32" s="6" t="n">
        <v>388000</v>
      </c>
      <c r="P32" s="19" t="n">
        <v>0.4</v>
      </c>
      <c r="Q32" s="7" t="n">
        <f>O32*P32/0.6</f>
        <v>258666.666666667</v>
      </c>
      <c r="R32" s="20" t="n">
        <v>0</v>
      </c>
      <c r="S32" s="6" t="n">
        <f>O32*R32</f>
        <v>0</v>
      </c>
      <c r="T32" s="11" t="n">
        <f>Q32*R32</f>
        <v>0</v>
      </c>
      <c r="U32" s="12" t="n">
        <f>R32/$P$43</f>
        <v>0</v>
      </c>
      <c r="V32" s="15"/>
      <c r="W32" s="9"/>
      <c r="X32" s="13"/>
      <c r="Y32" s="13" t="n">
        <f>O32/5000</f>
        <v>77.6</v>
      </c>
      <c r="Z32" s="13" t="n">
        <f>Y32*R32</f>
        <v>0</v>
      </c>
    </row>
    <row r="33" ht="16.5" customHeight="1">
      <c r="A33" s="6" t="n">
        <v>520000</v>
      </c>
      <c r="B33" s="19" t="n">
        <v>0.4</v>
      </c>
      <c r="C33" s="7" t="n">
        <f>A33*B33/0.6</f>
        <v>346666.666666667</v>
      </c>
      <c r="D33" s="20" t="n">
        <v>14</v>
      </c>
      <c r="E33" s="6" t="n">
        <f>A33*D33</f>
        <v>7280000</v>
      </c>
      <c r="F33" s="11" t="n">
        <f>C33*D33</f>
        <v>4853333.33333334</v>
      </c>
      <c r="G33" s="12" t="n">
        <f>D33/$B$43</f>
        <v>0.0425531914893617</v>
      </c>
      <c r="H33" s="67" t="s">
        <v>88</v>
      </c>
      <c r="I33" s="5"/>
      <c r="K33" s="13" t="n">
        <f>A33/5000</f>
        <v>104</v>
      </c>
      <c r="L33" s="13" t="n">
        <f>K33*D33</f>
        <v>1456</v>
      </c>
      <c r="O33" s="6" t="n">
        <v>520000</v>
      </c>
      <c r="P33" s="19" t="n">
        <v>0.4</v>
      </c>
      <c r="Q33" s="7" t="n">
        <f>O33*P33/0.6</f>
        <v>346666.666666667</v>
      </c>
      <c r="R33" s="20" t="n">
        <v>11</v>
      </c>
      <c r="S33" s="6" t="n">
        <f>O33*R33</f>
        <v>5720000</v>
      </c>
      <c r="T33" s="11" t="n">
        <f>Q33*R33</f>
        <v>3813333.33333334</v>
      </c>
      <c r="U33" s="12" t="n">
        <f>R33/$P$43</f>
        <v>0.0491071428571429</v>
      </c>
      <c r="V33" s="67" t="s">
        <v>88</v>
      </c>
      <c r="W33" s="5"/>
      <c r="Y33" s="13" t="n">
        <f>O33/5000</f>
        <v>104</v>
      </c>
      <c r="Z33" s="13" t="n">
        <f>Y33*R33</f>
        <v>1144</v>
      </c>
    </row>
    <row r="34" ht="16.5" customHeight="1">
      <c r="A34" s="6" t="n">
        <v>990000</v>
      </c>
      <c r="B34" s="19" t="n">
        <v>0.4</v>
      </c>
      <c r="C34" s="7" t="n">
        <f>A34*B34/0.6</f>
        <v>660000</v>
      </c>
      <c r="D34" s="20" t="n">
        <v>2</v>
      </c>
      <c r="E34" s="6" t="n">
        <f>A34*D34</f>
        <v>1980000</v>
      </c>
      <c r="F34" s="11" t="n">
        <f>C34*D34</f>
        <v>1320000</v>
      </c>
      <c r="G34" s="12" t="n">
        <f>D34/$B$43</f>
        <v>0.0060790273556231</v>
      </c>
      <c r="H34" s="67" t="s">
        <v>198</v>
      </c>
      <c r="I34" s="9"/>
      <c r="K34" s="13" t="n">
        <f>A34/5000</f>
        <v>198</v>
      </c>
      <c r="L34" s="13" t="n">
        <f>K34*D34</f>
        <v>396</v>
      </c>
      <c r="O34" s="6" t="n">
        <v>990000</v>
      </c>
      <c r="P34" s="19" t="n">
        <v>0.4</v>
      </c>
      <c r="Q34" s="7" t="n">
        <f>O34*P34/0.6</f>
        <v>660000</v>
      </c>
      <c r="R34" s="20" t="n">
        <v>2</v>
      </c>
      <c r="S34" s="6" t="n">
        <f>O34*R34</f>
        <v>1980000</v>
      </c>
      <c r="T34" s="11" t="n">
        <f>Q34*R34</f>
        <v>1320000</v>
      </c>
      <c r="U34" s="12" t="n">
        <f>R34/$P$43</f>
        <v>0.00892857142857143</v>
      </c>
      <c r="V34" s="67" t="s">
        <v>198</v>
      </c>
      <c r="W34" s="9"/>
      <c r="Y34" s="13" t="n">
        <f>O34/5000</f>
        <v>198</v>
      </c>
      <c r="Z34" s="13" t="n">
        <f>Y34*R34</f>
        <v>396</v>
      </c>
    </row>
    <row r="35" ht="16.5" customHeight="1">
      <c r="A35" s="6" t="n">
        <v>1234000</v>
      </c>
      <c r="B35" s="19" t="n">
        <v>0.4</v>
      </c>
      <c r="C35" s="7" t="n">
        <f>A35*B35/0.6</f>
        <v>822666.666666667</v>
      </c>
      <c r="D35" s="20" t="n">
        <v>9</v>
      </c>
      <c r="E35" s="6" t="n">
        <f>A35*D35</f>
        <v>11106000</v>
      </c>
      <c r="F35" s="11" t="n">
        <f>C35*D35</f>
        <v>7404000</v>
      </c>
      <c r="G35" s="12" t="n">
        <f>D35/$B$43</f>
        <v>0.027355623100304</v>
      </c>
      <c r="H35" s="15" t="s">
        <v>60</v>
      </c>
      <c r="I35" s="5"/>
      <c r="J35" s="13" t="s">
        <v>43</v>
      </c>
      <c r="K35" s="13" t="n">
        <f>A35/5000</f>
        <v>246.8</v>
      </c>
      <c r="L35" s="13" t="n">
        <f>K35*D35</f>
        <v>2221.2</v>
      </c>
      <c r="O35" s="6" t="n">
        <v>1234000</v>
      </c>
      <c r="P35" s="19" t="n">
        <v>0.4</v>
      </c>
      <c r="Q35" s="7" t="n">
        <f>O35*P35/0.6</f>
        <v>822666.666666667</v>
      </c>
      <c r="R35" s="20" t="n">
        <v>3</v>
      </c>
      <c r="S35" s="6" t="n">
        <f>O35*R35</f>
        <v>3702000</v>
      </c>
      <c r="T35" s="11" t="n">
        <f>Q35*R35</f>
        <v>2468000</v>
      </c>
      <c r="U35" s="12" t="n">
        <f>R35/$P$43</f>
        <v>0.0133928571428571</v>
      </c>
      <c r="V35" s="15" t="s">
        <v>60</v>
      </c>
      <c r="W35" s="5"/>
      <c r="X35" s="13" t="s">
        <v>43</v>
      </c>
      <c r="Y35" s="13" t="n">
        <f>O35/5000</f>
        <v>246.8</v>
      </c>
      <c r="Z35" s="13" t="n">
        <f>Y35*R35</f>
        <v>740.4</v>
      </c>
    </row>
    <row r="36" ht="16.5" customHeight="1">
      <c r="A36" s="69" t="n">
        <v>2988000</v>
      </c>
      <c r="B36" s="19" t="n">
        <v>0.4</v>
      </c>
      <c r="C36" s="7" t="n">
        <f>A36*B36/0.6</f>
        <v>1992000</v>
      </c>
      <c r="D36" s="20" t="n">
        <v>4</v>
      </c>
      <c r="E36" s="6" t="n">
        <f>A36*D36</f>
        <v>11952000</v>
      </c>
      <c r="F36" s="11" t="n">
        <f>C36*D36</f>
        <v>7968000</v>
      </c>
      <c r="G36" s="12" t="n">
        <f>D36/$B$43</f>
        <v>0.0121580547112462</v>
      </c>
      <c r="H36" s="15" t="s">
        <v>199</v>
      </c>
      <c r="I36" s="5"/>
      <c r="J36" s="13" t="s">
        <v>43</v>
      </c>
      <c r="K36" s="13" t="n">
        <f>A36/5000</f>
        <v>597.6</v>
      </c>
      <c r="L36" s="13" t="n">
        <f>K36*D36</f>
        <v>2390.4</v>
      </c>
      <c r="O36" s="69" t="n">
        <v>2988000</v>
      </c>
      <c r="P36" s="19" t="n">
        <v>0.4</v>
      </c>
      <c r="Q36" s="7" t="n">
        <f>O36*P36/0.6</f>
        <v>1992000</v>
      </c>
      <c r="R36" s="20" t="n">
        <v>2</v>
      </c>
      <c r="S36" s="6" t="n">
        <f>O36*R36</f>
        <v>5976000</v>
      </c>
      <c r="T36" s="11" t="n">
        <f>Q36*R36</f>
        <v>3984000</v>
      </c>
      <c r="U36" s="12" t="n">
        <f>R36/$P$43</f>
        <v>0.00892857142857143</v>
      </c>
      <c r="V36" s="15" t="s">
        <v>199</v>
      </c>
      <c r="W36" s="5"/>
      <c r="X36" s="13" t="s">
        <v>43</v>
      </c>
      <c r="Y36" s="13" t="n">
        <f>O36/5000</f>
        <v>597.6</v>
      </c>
      <c r="Z36" s="13" t="n">
        <f>Y36*R36</f>
        <v>1195.2</v>
      </c>
    </row>
    <row r="37" ht="16.5" customHeight="1">
      <c r="A37" s="70" t="n">
        <v>5000000</v>
      </c>
      <c r="B37" s="71" t="n">
        <v>0.4</v>
      </c>
      <c r="C37" s="70" t="n">
        <f>A37*B37/0.6</f>
        <v>3333333.33333333</v>
      </c>
      <c r="D37" s="72" t="n">
        <v>0</v>
      </c>
      <c r="E37" s="70" t="n">
        <f>A37*D37</f>
        <v>0</v>
      </c>
      <c r="F37" s="73" t="n">
        <f>C37*D37</f>
        <v>0</v>
      </c>
      <c r="G37" s="74" t="n">
        <f>D37/$B$43</f>
        <v>0</v>
      </c>
      <c r="H37" s="75"/>
      <c r="I37" s="9"/>
      <c r="J37" s="13" t="s">
        <v>43</v>
      </c>
      <c r="K37" s="13" t="n">
        <f>A37/5000</f>
        <v>1000</v>
      </c>
      <c r="L37" s="13" t="n">
        <f>K37*D37</f>
        <v>0</v>
      </c>
      <c r="O37" s="70" t="n">
        <v>5000000</v>
      </c>
      <c r="P37" s="71" t="n">
        <v>0.4</v>
      </c>
      <c r="Q37" s="70" t="n">
        <f>O37*P37/0.6</f>
        <v>3333333.33333333</v>
      </c>
      <c r="R37" s="72" t="n">
        <v>0</v>
      </c>
      <c r="S37" s="70" t="n">
        <f>O37*R37</f>
        <v>0</v>
      </c>
      <c r="T37" s="73" t="n">
        <f>Q37*R37</f>
        <v>0</v>
      </c>
      <c r="U37" s="12" t="n">
        <f>R37/$P$43</f>
        <v>0</v>
      </c>
      <c r="V37" s="75"/>
      <c r="W37" s="9"/>
      <c r="X37" s="13" t="s">
        <v>43</v>
      </c>
      <c r="Y37" s="13" t="n">
        <f>O37/5000</f>
        <v>1000</v>
      </c>
      <c r="Z37" s="13" t="n">
        <f>Y37*R37</f>
        <v>0</v>
      </c>
    </row>
    <row r="38" ht="16.5" customHeight="1">
      <c r="A38" s="69" t="n">
        <v>6666000</v>
      </c>
      <c r="B38" s="19" t="n">
        <v>0.4</v>
      </c>
      <c r="C38" s="7" t="n">
        <f>A38*B38/0.6</f>
        <v>4444000</v>
      </c>
      <c r="D38" s="20" t="n">
        <v>2</v>
      </c>
      <c r="E38" s="6" t="n">
        <f>A38*D38</f>
        <v>13332000</v>
      </c>
      <c r="F38" s="11" t="n">
        <f>C38*D38</f>
        <v>8888000</v>
      </c>
      <c r="G38" s="12" t="n">
        <f>D38/$B$43</f>
        <v>0.0060790273556231</v>
      </c>
      <c r="H38" s="15" t="s">
        <v>200</v>
      </c>
      <c r="I38" s="5"/>
      <c r="J38" s="13" t="s">
        <v>43</v>
      </c>
      <c r="K38" s="13" t="n">
        <f>A38/5000</f>
        <v>1333.2</v>
      </c>
      <c r="L38" s="13" t="n">
        <f>K38*D38</f>
        <v>2666.4</v>
      </c>
      <c r="O38" s="69" t="n">
        <v>6666000</v>
      </c>
      <c r="P38" s="19" t="n">
        <v>0.4</v>
      </c>
      <c r="Q38" s="7" t="n">
        <f>O38*P38/0.6</f>
        <v>4444000</v>
      </c>
      <c r="R38" s="20" t="n">
        <v>1</v>
      </c>
      <c r="S38" s="6" t="n">
        <f>O38*R38</f>
        <v>6666000</v>
      </c>
      <c r="T38" s="11" t="n">
        <f>Q38*R38</f>
        <v>4444000</v>
      </c>
      <c r="U38" s="12" t="n">
        <f>R38/$P$43</f>
        <v>0.00446428571428571</v>
      </c>
      <c r="V38" s="15" t="s">
        <v>200</v>
      </c>
      <c r="W38" s="5"/>
      <c r="X38" s="13" t="s">
        <v>43</v>
      </c>
      <c r="Y38" s="13" t="n">
        <f>O38/5000</f>
        <v>1333.2</v>
      </c>
      <c r="Z38" s="13" t="n">
        <f>Y38*R38</f>
        <v>1333.2</v>
      </c>
    </row>
    <row r="39" ht="16.5" customHeight="1">
      <c r="A39" s="6"/>
      <c r="B39" s="17"/>
      <c r="C39" s="17"/>
      <c r="D39" s="17"/>
      <c r="E39" s="17"/>
      <c r="F39" s="17"/>
      <c r="G39" s="17"/>
      <c r="H39" s="17"/>
      <c r="I39" s="9"/>
      <c r="J39" s="9"/>
      <c r="K39" s="9"/>
      <c r="L39" s="9"/>
      <c r="O39" s="6"/>
      <c r="P39" s="17"/>
      <c r="Q39" s="17"/>
      <c r="R39" s="17"/>
      <c r="S39" s="17"/>
      <c r="T39" s="17"/>
      <c r="U39" s="17"/>
      <c r="V39" s="17"/>
      <c r="W39" s="9"/>
      <c r="X39" s="9"/>
      <c r="Y39" s="9"/>
      <c r="Z39" s="9"/>
    </row>
    <row r="40" ht="16.5" customHeight="1">
      <c r="A40" s="6"/>
      <c r="B40" s="17"/>
      <c r="C40" s="17"/>
      <c r="D40" s="17"/>
      <c r="E40" s="17"/>
      <c r="F40" s="17"/>
      <c r="G40" s="17"/>
      <c r="H40" s="17"/>
      <c r="I40" s="9"/>
      <c r="J40" s="9"/>
      <c r="K40" s="9"/>
      <c r="L40" s="9"/>
      <c r="O40" s="6"/>
      <c r="P40" s="17"/>
      <c r="Q40" s="17"/>
      <c r="R40" s="17"/>
      <c r="S40" s="17"/>
      <c r="T40" s="17"/>
      <c r="U40" s="17"/>
      <c r="V40" s="17"/>
      <c r="W40" s="9"/>
      <c r="X40" s="9"/>
      <c r="Y40" s="9"/>
      <c r="Z40" s="9"/>
    </row>
    <row r="41" ht="16.5" customHeight="1">
      <c r="A41" s="6"/>
      <c r="B41" s="17"/>
      <c r="C41" s="17"/>
      <c r="D41" s="17"/>
      <c r="E41" s="17"/>
      <c r="F41" s="17"/>
      <c r="G41" s="17"/>
      <c r="H41" s="17"/>
      <c r="I41" s="9"/>
      <c r="J41" s="9"/>
      <c r="K41" s="9"/>
      <c r="L41" s="9"/>
      <c r="O41" s="6"/>
      <c r="P41" s="17"/>
      <c r="Q41" s="17"/>
      <c r="R41" s="17"/>
      <c r="S41" s="17"/>
      <c r="T41" s="17"/>
      <c r="U41" s="17"/>
      <c r="V41" s="17"/>
      <c r="W41" s="9"/>
      <c r="X41" s="9"/>
      <c r="Y41" s="9"/>
      <c r="Z41" s="9"/>
    </row>
    <row r="42" ht="16.5" customHeight="1">
      <c r="A42" s="6"/>
      <c r="B42" s="17"/>
      <c r="C42" s="17"/>
      <c r="D42" s="17"/>
      <c r="E42" s="17"/>
      <c r="F42" s="17"/>
      <c r="G42" s="17"/>
      <c r="H42" s="17"/>
      <c r="I42" s="9"/>
      <c r="J42" s="9"/>
      <c r="K42" s="9"/>
      <c r="L42" s="9"/>
      <c r="O42" s="6"/>
      <c r="P42" s="17"/>
      <c r="Q42" s="17"/>
      <c r="R42" s="17"/>
      <c r="S42" s="17"/>
      <c r="T42" s="17"/>
      <c r="U42" s="17"/>
      <c r="V42" s="17"/>
      <c r="W42" s="9"/>
      <c r="X42" s="9"/>
      <c r="Y42" s="9"/>
      <c r="Z42" s="9"/>
    </row>
    <row r="43" ht="16.5" customHeight="1">
      <c r="A43" s="22" t="s">
        <v>21</v>
      </c>
      <c r="B43" s="23" t="n">
        <f>SUM(D26:D38)</f>
        <v>329</v>
      </c>
      <c r="C43" s="24" t="s">
        <v>22</v>
      </c>
      <c r="D43" s="10"/>
      <c r="E43" s="31" t="n">
        <f>SUM(E26:E38)</f>
        <v>80738000</v>
      </c>
      <c r="F43" s="39" t="s">
        <v>23</v>
      </c>
      <c r="G43" s="40"/>
      <c r="H43" s="41" t="n">
        <f>E43/E45</f>
        <v>1.40310449338227</v>
      </c>
      <c r="I43" s="9"/>
      <c r="J43" s="9"/>
      <c r="K43" s="9"/>
      <c r="L43" s="9"/>
      <c r="O43" s="22" t="s">
        <v>21</v>
      </c>
      <c r="P43" s="23" t="n">
        <f>SUM(R26:R38)</f>
        <v>224</v>
      </c>
      <c r="Q43" s="24" t="s">
        <v>22</v>
      </c>
      <c r="R43" s="10"/>
      <c r="S43" s="31" t="n">
        <f>SUM(S26:S38)</f>
        <v>54472000</v>
      </c>
      <c r="T43" s="39" t="s">
        <v>23</v>
      </c>
      <c r="U43" s="40"/>
      <c r="V43" s="41" t="n">
        <f>S43/S45</f>
        <v>1.40051009914024</v>
      </c>
      <c r="W43" s="9"/>
      <c r="X43" s="9"/>
      <c r="Y43" s="9"/>
      <c r="Z43" s="9"/>
    </row>
    <row r="44" ht="16.5" customHeight="1">
      <c r="A44" s="22" t="s">
        <v>24</v>
      </c>
      <c r="B44" s="22" t="n">
        <f>2*88800</f>
        <v>177600</v>
      </c>
      <c r="C44" s="24" t="s">
        <v>25</v>
      </c>
      <c r="D44" s="10"/>
      <c r="E44" s="31" t="n">
        <f>SUM(F26:F38)</f>
        <v>54121333.3333333</v>
      </c>
      <c r="F44" s="39" t="s">
        <v>26</v>
      </c>
      <c r="G44" s="40"/>
      <c r="H44" s="41" t="n">
        <f>E44/E45</f>
        <v>0.940547028509991</v>
      </c>
      <c r="I44" s="9"/>
      <c r="J44" s="9"/>
      <c r="K44" s="9"/>
      <c r="L44" s="9"/>
      <c r="O44" s="22" t="s">
        <v>24</v>
      </c>
      <c r="P44" s="22" t="n">
        <f>2*88800</f>
        <v>177600</v>
      </c>
      <c r="Q44" s="24" t="s">
        <v>25</v>
      </c>
      <c r="R44" s="10"/>
      <c r="S44" s="31" t="n">
        <f>SUM(T26:T38)</f>
        <v>36610666.6666666</v>
      </c>
      <c r="T44" s="39" t="s">
        <v>26</v>
      </c>
      <c r="U44" s="40"/>
      <c r="V44" s="41" t="n">
        <f>S44/S45</f>
        <v>0.941283749502926</v>
      </c>
      <c r="W44" s="9"/>
      <c r="X44" s="9"/>
      <c r="Y44" s="9"/>
      <c r="Z44" s="9"/>
    </row>
    <row r="45" ht="16.5" customHeight="1">
      <c r="A45" s="15"/>
      <c r="B45" s="15"/>
      <c r="C45" s="24" t="s">
        <v>27</v>
      </c>
      <c r="D45" s="10"/>
      <c r="E45" s="8" t="n">
        <f>B43*B44-D28*A28</f>
        <v>57542400</v>
      </c>
      <c r="F45" s="39" t="s">
        <v>28</v>
      </c>
      <c r="G45" s="40"/>
      <c r="H45" s="41" t="n">
        <f>E45/E44</f>
        <v>1.06321105663817</v>
      </c>
      <c r="I45" s="9"/>
      <c r="J45" s="9"/>
      <c r="K45" s="9"/>
      <c r="L45" s="9"/>
      <c r="O45" s="15"/>
      <c r="P45" s="15"/>
      <c r="Q45" s="24" t="s">
        <v>27</v>
      </c>
      <c r="R45" s="10"/>
      <c r="S45" s="8" t="n">
        <f>P43*P44-R28*O28</f>
        <v>38894400</v>
      </c>
      <c r="T45" s="39" t="s">
        <v>28</v>
      </c>
      <c r="U45" s="40"/>
      <c r="V45" s="41" t="n">
        <f>S45/S44</f>
        <v>1.06237890596548</v>
      </c>
      <c r="W45" s="9"/>
      <c r="X45" s="9"/>
      <c r="Y45" s="9"/>
      <c r="Z45" s="9"/>
    </row>
    <row r="48" ht="16.5" customHeight="1">
      <c r="A48" s="30" t="s">
        <v>201</v>
      </c>
      <c r="B48" s="27"/>
      <c r="C48" s="27"/>
      <c r="D48" s="27"/>
      <c r="E48" s="27"/>
      <c r="F48" s="27"/>
      <c r="G48" s="27"/>
      <c r="H48" s="28"/>
      <c r="I48" s="9"/>
      <c r="J48" s="9"/>
      <c r="K48" s="9"/>
      <c r="L48" s="9"/>
      <c r="O48" s="30" t="s">
        <v>201</v>
      </c>
      <c r="P48" s="27"/>
      <c r="Q48" s="27"/>
      <c r="R48" s="27"/>
      <c r="S48" s="27"/>
      <c r="T48" s="27"/>
      <c r="U48" s="27"/>
      <c r="V48" s="28"/>
      <c r="W48" s="9"/>
      <c r="X48" s="9"/>
      <c r="Y48" s="9"/>
      <c r="Z48" s="9"/>
    </row>
    <row r="49" ht="16.5" customHeight="1">
      <c r="A49" s="15" t="s">
        <v>202</v>
      </c>
      <c r="B49" s="10"/>
      <c r="C49" s="10"/>
      <c r="D49" s="10"/>
      <c r="E49" s="10"/>
      <c r="F49" s="10"/>
      <c r="G49" s="10"/>
      <c r="H49" s="10"/>
      <c r="I49" s="9"/>
      <c r="J49" s="9"/>
      <c r="K49" s="9"/>
      <c r="L49" s="9"/>
      <c r="O49" s="15" t="s">
        <v>202</v>
      </c>
      <c r="P49" s="10"/>
      <c r="Q49" s="10"/>
      <c r="R49" s="10"/>
      <c r="S49" s="10"/>
      <c r="T49" s="10"/>
      <c r="U49" s="10"/>
      <c r="V49" s="10"/>
      <c r="W49" s="9"/>
      <c r="X49" s="9"/>
      <c r="Y49" s="9"/>
      <c r="Z49" s="9"/>
    </row>
    <row r="50" ht="16.5" customHeight="1">
      <c r="A50" s="17" t="s">
        <v>2</v>
      </c>
      <c r="B50" s="15" t="s">
        <v>3</v>
      </c>
      <c r="C50" s="18" t="s">
        <v>4</v>
      </c>
      <c r="D50" s="20" t="s">
        <v>5</v>
      </c>
      <c r="E50" s="17" t="s">
        <v>6</v>
      </c>
      <c r="F50" s="15" t="s">
        <v>7</v>
      </c>
      <c r="G50" s="15" t="s">
        <v>8</v>
      </c>
      <c r="H50" s="17" t="s">
        <v>9</v>
      </c>
      <c r="I50" s="9" t="s">
        <v>10</v>
      </c>
      <c r="J50" s="9" t="s">
        <v>11</v>
      </c>
      <c r="K50" s="9" t="s">
        <v>12</v>
      </c>
      <c r="L50" s="9"/>
      <c r="O50" s="17" t="s">
        <v>2</v>
      </c>
      <c r="P50" s="15" t="s">
        <v>3</v>
      </c>
      <c r="Q50" s="18" t="s">
        <v>4</v>
      </c>
      <c r="R50" s="20" t="s">
        <v>5</v>
      </c>
      <c r="S50" s="17" t="s">
        <v>6</v>
      </c>
      <c r="T50" s="15" t="s">
        <v>7</v>
      </c>
      <c r="U50" s="15" t="s">
        <v>8</v>
      </c>
      <c r="V50" s="17" t="s">
        <v>9</v>
      </c>
      <c r="W50" s="9" t="s">
        <v>10</v>
      </c>
      <c r="X50" s="9" t="s">
        <v>11</v>
      </c>
      <c r="Y50" s="9" t="s">
        <v>12</v>
      </c>
      <c r="Z50" s="9"/>
    </row>
    <row r="51" ht="16.5" customHeight="1">
      <c r="A51" s="6" t="n">
        <v>131000</v>
      </c>
      <c r="B51" s="19" t="n">
        <v>0.4</v>
      </c>
      <c r="C51" s="7" t="n">
        <f>A51*B51/0.6</f>
        <v>87333.3333333333</v>
      </c>
      <c r="D51" s="76" t="n">
        <v>95</v>
      </c>
      <c r="E51" s="6" t="n">
        <f>A51*D51</f>
        <v>12445000</v>
      </c>
      <c r="F51" s="11" t="n">
        <f>C51*D51</f>
        <v>8296666.66666666</v>
      </c>
      <c r="G51" s="12" t="n">
        <f>D51/$B$68</f>
        <v>0.272206303724928</v>
      </c>
      <c r="H51" s="15" t="s">
        <v>203</v>
      </c>
      <c r="I51" s="5"/>
      <c r="J51" s="13"/>
      <c r="K51" s="13" t="n">
        <f>A51/5000</f>
        <v>26.2</v>
      </c>
      <c r="L51" s="13" t="n">
        <f>K51*D51</f>
        <v>2489</v>
      </c>
      <c r="O51" s="6" t="n">
        <v>131000</v>
      </c>
      <c r="P51" s="19" t="n">
        <v>0.4</v>
      </c>
      <c r="Q51" s="7" t="n">
        <f>O51*P51/0.6</f>
        <v>87333.3333333333</v>
      </c>
      <c r="R51" s="83" t="n">
        <v>110</v>
      </c>
      <c r="S51" s="6" t="n">
        <f>O51*R51</f>
        <v>14410000</v>
      </c>
      <c r="T51" s="11" t="n">
        <f>Q51*R51</f>
        <v>9606666.66666666</v>
      </c>
      <c r="U51" s="12" t="n">
        <f>R51/$P$68</f>
        <v>0.302197802197802</v>
      </c>
      <c r="V51" s="15" t="s">
        <v>203</v>
      </c>
      <c r="W51" s="5"/>
      <c r="X51" s="13"/>
      <c r="Y51" s="13" t="n">
        <f>O51/5000</f>
        <v>26.2</v>
      </c>
      <c r="Z51" s="13" t="n">
        <f>Y51*R51</f>
        <v>2882</v>
      </c>
    </row>
    <row r="52" ht="16.5" customHeight="1">
      <c r="A52" s="6" t="n">
        <v>334000</v>
      </c>
      <c r="B52" s="19" t="n">
        <v>0.4</v>
      </c>
      <c r="C52" s="7" t="n">
        <f>A52*B52/0.6</f>
        <v>222666.666666667</v>
      </c>
      <c r="D52" s="20" t="n">
        <v>100</v>
      </c>
      <c r="E52" s="6" t="n">
        <f>A52*D52</f>
        <v>33400000</v>
      </c>
      <c r="F52" s="11" t="n">
        <f>C52*D52</f>
        <v>22266666.6666667</v>
      </c>
      <c r="G52" s="12" t="n">
        <f>D52/$B$68</f>
        <v>0.286532951289398</v>
      </c>
      <c r="H52" s="15" t="s">
        <v>204</v>
      </c>
      <c r="I52" s="9"/>
      <c r="J52" s="13"/>
      <c r="K52" s="13" t="n">
        <f>A52/5000</f>
        <v>66.8</v>
      </c>
      <c r="L52" s="13" t="n">
        <f>K52*D52</f>
        <v>6680</v>
      </c>
      <c r="O52" s="6" t="n">
        <v>334000</v>
      </c>
      <c r="P52" s="19" t="n">
        <v>0.4</v>
      </c>
      <c r="Q52" s="7" t="n">
        <f>O52*P52/0.6</f>
        <v>222666.666666667</v>
      </c>
      <c r="R52" s="20" t="n">
        <v>100</v>
      </c>
      <c r="S52" s="6" t="n">
        <f>O52*R52</f>
        <v>33400000</v>
      </c>
      <c r="T52" s="11" t="n">
        <f>Q52*R52</f>
        <v>22266666.6666667</v>
      </c>
      <c r="U52" s="12" t="n">
        <f>R52/$P$68</f>
        <v>0.274725274725275</v>
      </c>
      <c r="V52" s="15" t="s">
        <v>204</v>
      </c>
      <c r="W52" s="9"/>
      <c r="X52" s="13"/>
      <c r="Y52" s="13" t="n">
        <f>O52/5000</f>
        <v>66.8</v>
      </c>
      <c r="Z52" s="13" t="n">
        <f>Y52*R52</f>
        <v>6680</v>
      </c>
    </row>
    <row r="53" ht="16.5" customHeight="1">
      <c r="A53" s="6" t="n">
        <v>520000</v>
      </c>
      <c r="B53" s="19" t="n">
        <v>0.4</v>
      </c>
      <c r="C53" s="7" t="n">
        <f>A53*B53/0.6</f>
        <v>346666.666666667</v>
      </c>
      <c r="D53" s="20" t="n">
        <v>50</v>
      </c>
      <c r="E53" s="6" t="n">
        <f>A53*D53</f>
        <v>26000000</v>
      </c>
      <c r="F53" s="11" t="n">
        <f>C53*D53</f>
        <v>17333333.3333334</v>
      </c>
      <c r="G53" s="12" t="n">
        <f>D53/$B$68</f>
        <v>0.143266475644699</v>
      </c>
      <c r="H53" s="67" t="s">
        <v>88</v>
      </c>
      <c r="I53" s="9"/>
      <c r="J53" s="13"/>
      <c r="K53" s="13" t="n">
        <f>A53/5000</f>
        <v>104</v>
      </c>
      <c r="L53" s="13" t="n">
        <f>K53*D53</f>
        <v>5200</v>
      </c>
      <c r="O53" s="6" t="n">
        <v>520000</v>
      </c>
      <c r="P53" s="19" t="n">
        <v>0.4</v>
      </c>
      <c r="Q53" s="7" t="n">
        <f>O53*P53/0.6</f>
        <v>346666.666666667</v>
      </c>
      <c r="R53" s="20" t="n">
        <v>50</v>
      </c>
      <c r="S53" s="6" t="n">
        <f>O53*R53</f>
        <v>26000000</v>
      </c>
      <c r="T53" s="11" t="n">
        <f>Q53*R53</f>
        <v>17333333.3333334</v>
      </c>
      <c r="U53" s="12" t="n">
        <f>R53/$P$68</f>
        <v>0.137362637362637</v>
      </c>
      <c r="V53" s="67" t="s">
        <v>88</v>
      </c>
      <c r="W53" s="9"/>
      <c r="X53" s="13"/>
      <c r="Y53" s="13" t="n">
        <f>O53/5000</f>
        <v>104</v>
      </c>
      <c r="Z53" s="13" t="n">
        <f>Y53*R53</f>
        <v>5200</v>
      </c>
    </row>
    <row r="54" ht="16.5" customHeight="1">
      <c r="A54" s="6" t="n">
        <v>668000</v>
      </c>
      <c r="B54" s="19" t="n">
        <v>0.4</v>
      </c>
      <c r="C54" s="7" t="n">
        <f>A54*B54/0.6</f>
        <v>445333.333333333</v>
      </c>
      <c r="D54" s="20" t="n">
        <v>60</v>
      </c>
      <c r="E54" s="6" t="n">
        <f>A54*D54</f>
        <v>40080000</v>
      </c>
      <c r="F54" s="11" t="n">
        <f>C54*D54</f>
        <v>26720000</v>
      </c>
      <c r="G54" s="12" t="n">
        <f>D54/$B$68</f>
        <v>0.171919770773639</v>
      </c>
      <c r="H54" s="67" t="s">
        <v>205</v>
      </c>
      <c r="I54" s="5"/>
      <c r="J54" s="13"/>
      <c r="K54" s="13" t="n">
        <f>A54/5000</f>
        <v>133.6</v>
      </c>
      <c r="L54" s="13" t="n">
        <f>K54*D54</f>
        <v>8016</v>
      </c>
      <c r="O54" s="6" t="n">
        <v>668000</v>
      </c>
      <c r="P54" s="19" t="n">
        <v>0.4</v>
      </c>
      <c r="Q54" s="7" t="n">
        <f>O54*P54/0.6</f>
        <v>445333.333333333</v>
      </c>
      <c r="R54" s="20" t="n">
        <v>60</v>
      </c>
      <c r="S54" s="6" t="n">
        <f>O54*R54</f>
        <v>40080000</v>
      </c>
      <c r="T54" s="11" t="n">
        <f>Q54*R54</f>
        <v>26720000</v>
      </c>
      <c r="U54" s="12" t="n">
        <f>R54/$P$68</f>
        <v>0.164835164835165</v>
      </c>
      <c r="V54" s="67" t="s">
        <v>205</v>
      </c>
      <c r="W54" s="5"/>
      <c r="X54" s="13"/>
      <c r="Y54" s="13" t="n">
        <f>O54/5000</f>
        <v>133.6</v>
      </c>
      <c r="Z54" s="13" t="n">
        <f>Y54*R54</f>
        <v>8016</v>
      </c>
    </row>
    <row r="55" ht="16.5" customHeight="1">
      <c r="A55" s="6" t="n">
        <v>888000</v>
      </c>
      <c r="B55" s="19" t="n">
        <v>0.4</v>
      </c>
      <c r="C55" s="7" t="n">
        <f>A55*B55/0.6</f>
        <v>592000</v>
      </c>
      <c r="D55" s="20" t="n">
        <v>30</v>
      </c>
      <c r="E55" s="6" t="n">
        <f>A55*D55</f>
        <v>26640000</v>
      </c>
      <c r="F55" s="11" t="n">
        <f>C55*D55</f>
        <v>17760000</v>
      </c>
      <c r="G55" s="12" t="n">
        <f>D55/$B$68</f>
        <v>0.0859598853868195</v>
      </c>
      <c r="H55" s="67" t="s">
        <v>206</v>
      </c>
      <c r="I55" s="5"/>
      <c r="J55" s="13"/>
      <c r="K55" s="13" t="n">
        <f>A55/5000</f>
        <v>177.6</v>
      </c>
      <c r="L55" s="13" t="n">
        <f>K55*D55</f>
        <v>5328</v>
      </c>
      <c r="O55" s="6" t="n">
        <v>888000</v>
      </c>
      <c r="P55" s="19" t="n">
        <v>0.4</v>
      </c>
      <c r="Q55" s="7" t="n">
        <f>O55*P55/0.6</f>
        <v>592000</v>
      </c>
      <c r="R55" s="20" t="n">
        <v>30</v>
      </c>
      <c r="S55" s="6" t="n">
        <f>O55*R55</f>
        <v>26640000</v>
      </c>
      <c r="T55" s="11" t="n">
        <f>Q55*R55</f>
        <v>17760000</v>
      </c>
      <c r="U55" s="12" t="n">
        <f>R55/$P$68</f>
        <v>0.0824175824175824</v>
      </c>
      <c r="V55" s="67" t="s">
        <v>206</v>
      </c>
      <c r="W55" s="5"/>
      <c r="X55" s="13"/>
      <c r="Y55" s="13" t="n">
        <f>O55/5000</f>
        <v>177.6</v>
      </c>
      <c r="Z55" s="13" t="n">
        <f>Y55*R55</f>
        <v>5328</v>
      </c>
    </row>
    <row r="56" ht="16.5" customHeight="1">
      <c r="A56" s="6" t="n">
        <v>888800</v>
      </c>
      <c r="B56" s="19" t="n">
        <v>0.4</v>
      </c>
      <c r="C56" s="7" t="n">
        <f>A56*B56/0.6</f>
        <v>592533.333333333</v>
      </c>
      <c r="D56" s="20" t="n">
        <v>0</v>
      </c>
      <c r="E56" s="6" t="n">
        <f>A56*D56</f>
        <v>0</v>
      </c>
      <c r="F56" s="11" t="n">
        <f>C56*D56</f>
        <v>0</v>
      </c>
      <c r="G56" s="12" t="n">
        <f>D56/$B$68</f>
        <v>0</v>
      </c>
      <c r="H56" s="15"/>
      <c r="I56" s="5"/>
      <c r="J56" s="13"/>
      <c r="K56" s="13" t="n">
        <f>A56/5000</f>
        <v>177.76</v>
      </c>
      <c r="L56" s="13" t="n">
        <f>K56*D56</f>
        <v>0</v>
      </c>
      <c r="O56" s="6" t="n">
        <v>888800</v>
      </c>
      <c r="P56" s="19" t="n">
        <v>0.4</v>
      </c>
      <c r="Q56" s="7" t="n">
        <f>O56*P56/0.6</f>
        <v>592533.333333333</v>
      </c>
      <c r="R56" s="20" t="n">
        <v>0</v>
      </c>
      <c r="S56" s="6" t="n">
        <f>O56*R56</f>
        <v>0</v>
      </c>
      <c r="T56" s="11" t="n">
        <f>Q56*R56</f>
        <v>0</v>
      </c>
      <c r="U56" s="12" t="n">
        <f>R56/$P$68</f>
        <v>0</v>
      </c>
      <c r="V56" s="15"/>
      <c r="W56" s="5"/>
      <c r="X56" s="13"/>
      <c r="Y56" s="13" t="n">
        <f>O56/5000</f>
        <v>177.76</v>
      </c>
      <c r="Z56" s="13" t="n">
        <f>Y56*R56</f>
        <v>0</v>
      </c>
    </row>
    <row r="57" ht="16.5" customHeight="1">
      <c r="A57" s="6" t="n">
        <v>1234000</v>
      </c>
      <c r="B57" s="19" t="n">
        <v>0.4</v>
      </c>
      <c r="C57" s="7" t="n">
        <f>A57*B57/0.6</f>
        <v>822666.666666667</v>
      </c>
      <c r="D57" s="20" t="n">
        <v>3</v>
      </c>
      <c r="E57" s="6" t="n">
        <f>A57*D57</f>
        <v>3702000</v>
      </c>
      <c r="F57" s="11" t="n">
        <f>C57*D57</f>
        <v>2468000</v>
      </c>
      <c r="G57" s="12" t="n">
        <f>D57/$B$68</f>
        <v>0.00859598853868195</v>
      </c>
      <c r="H57" s="15" t="s">
        <v>60</v>
      </c>
      <c r="I57" s="9"/>
      <c r="J57" s="13" t="s">
        <v>43</v>
      </c>
      <c r="K57" s="13" t="n">
        <f>A57/5000</f>
        <v>246.8</v>
      </c>
      <c r="L57" s="13" t="n">
        <f>K57*D57</f>
        <v>740.4</v>
      </c>
      <c r="O57" s="6" t="n">
        <v>1234000</v>
      </c>
      <c r="P57" s="19" t="n">
        <v>0.4</v>
      </c>
      <c r="Q57" s="7" t="n">
        <f>O57*P57/0.6</f>
        <v>822666.666666667</v>
      </c>
      <c r="R57" s="20" t="n">
        <v>3</v>
      </c>
      <c r="S57" s="6" t="n">
        <f>O57*R57</f>
        <v>3702000</v>
      </c>
      <c r="T57" s="11" t="n">
        <f>Q57*R57</f>
        <v>2468000</v>
      </c>
      <c r="U57" s="12" t="n">
        <f>R57/$P$68</f>
        <v>0.00824175824175824</v>
      </c>
      <c r="V57" s="15" t="s">
        <v>60</v>
      </c>
      <c r="W57" s="9"/>
      <c r="X57" s="13" t="s">
        <v>43</v>
      </c>
      <c r="Y57" s="13" t="n">
        <f>O57/5000</f>
        <v>246.8</v>
      </c>
      <c r="Z57" s="13" t="n">
        <f>Y57*R57</f>
        <v>740.4</v>
      </c>
    </row>
    <row r="58" ht="16.5" customHeight="1">
      <c r="A58" s="6" t="n">
        <v>1314000</v>
      </c>
      <c r="B58" s="19" t="n">
        <v>0.4</v>
      </c>
      <c r="C58" s="7" t="n">
        <f>A58*B58/0.6</f>
        <v>876000</v>
      </c>
      <c r="D58" s="20" t="n">
        <v>2</v>
      </c>
      <c r="E58" s="6" t="n">
        <f>A58*D58</f>
        <v>2628000</v>
      </c>
      <c r="F58" s="11" t="n">
        <f>C58*D58</f>
        <v>1752000</v>
      </c>
      <c r="G58" s="12" t="n">
        <f>D58/$B$68</f>
        <v>0.00573065902578797</v>
      </c>
      <c r="H58" s="15" t="s">
        <v>207</v>
      </c>
      <c r="I58" s="5"/>
      <c r="J58" s="13" t="s">
        <v>43</v>
      </c>
      <c r="K58" s="13" t="n">
        <f>A58/5000</f>
        <v>262.8</v>
      </c>
      <c r="L58" s="13" t="n">
        <f>K58*D58</f>
        <v>525.6</v>
      </c>
      <c r="O58" s="6" t="n">
        <v>1314000</v>
      </c>
      <c r="P58" s="19" t="n">
        <v>0.4</v>
      </c>
      <c r="Q58" s="7" t="n">
        <f>O58*P58/0.6</f>
        <v>876000</v>
      </c>
      <c r="R58" s="20" t="n">
        <v>2</v>
      </c>
      <c r="S58" s="6" t="n">
        <f>O58*R58</f>
        <v>2628000</v>
      </c>
      <c r="T58" s="11" t="n">
        <f>Q58*R58</f>
        <v>1752000</v>
      </c>
      <c r="U58" s="12" t="n">
        <f>R58/$P$68</f>
        <v>0.0054945054945055</v>
      </c>
      <c r="V58" s="15" t="s">
        <v>207</v>
      </c>
      <c r="W58" s="5"/>
      <c r="X58" s="13" t="s">
        <v>43</v>
      </c>
      <c r="Y58" s="13" t="n">
        <f>O58/5000</f>
        <v>262.8</v>
      </c>
      <c r="Z58" s="13" t="n">
        <f>Y58*R58</f>
        <v>525.6</v>
      </c>
    </row>
    <row r="59" ht="16.5" customHeight="1">
      <c r="A59" s="69" t="n">
        <v>5200000</v>
      </c>
      <c r="B59" s="19" t="n">
        <v>0.4</v>
      </c>
      <c r="C59" s="7" t="n">
        <f>A59*B59/0.6</f>
        <v>3466666.66666667</v>
      </c>
      <c r="D59" s="20" t="n">
        <v>3</v>
      </c>
      <c r="E59" s="6" t="n">
        <f>A59*D59</f>
        <v>15600000</v>
      </c>
      <c r="F59" s="11" t="n">
        <f>C59*D59</f>
        <v>10400000</v>
      </c>
      <c r="G59" s="12" t="n">
        <f>D59/$B$68</f>
        <v>0.00859598853868195</v>
      </c>
      <c r="H59" s="68" t="s">
        <v>208</v>
      </c>
      <c r="I59" s="9"/>
      <c r="J59" s="13" t="s">
        <v>43</v>
      </c>
      <c r="K59" s="13" t="n">
        <f>A59/5000</f>
        <v>1040</v>
      </c>
      <c r="L59" s="13" t="n">
        <f>K59*D59</f>
        <v>3120</v>
      </c>
      <c r="O59" s="69" t="n">
        <v>5200000</v>
      </c>
      <c r="P59" s="19" t="n">
        <v>0.4</v>
      </c>
      <c r="Q59" s="7" t="n">
        <f>O59*P59/0.6</f>
        <v>3466666.66666667</v>
      </c>
      <c r="R59" s="20" t="n">
        <v>3</v>
      </c>
      <c r="S59" s="6" t="n">
        <f>O59*R59</f>
        <v>15600000</v>
      </c>
      <c r="T59" s="11" t="n">
        <f>Q59*R59</f>
        <v>10400000</v>
      </c>
      <c r="U59" s="12" t="n">
        <f>R59/$P$68</f>
        <v>0.00824175824175824</v>
      </c>
      <c r="V59" s="68" t="s">
        <v>208</v>
      </c>
      <c r="W59" s="9"/>
      <c r="X59" s="13" t="s">
        <v>43</v>
      </c>
      <c r="Y59" s="13" t="n">
        <f>O59/5000</f>
        <v>1040</v>
      </c>
      <c r="Z59" s="13" t="n">
        <f>Y59*R59</f>
        <v>3120</v>
      </c>
    </row>
    <row r="60" ht="16.5" customHeight="1">
      <c r="A60" s="69" t="n">
        <v>8888000</v>
      </c>
      <c r="B60" s="19" t="n">
        <v>0.4</v>
      </c>
      <c r="C60" s="7" t="n">
        <f>A60*B60/0.6</f>
        <v>5925333.33333333</v>
      </c>
      <c r="D60" s="20" t="n">
        <v>3</v>
      </c>
      <c r="E60" s="6" t="n">
        <f>A60*D60</f>
        <v>26664000</v>
      </c>
      <c r="F60" s="11" t="n">
        <f>C60*D60</f>
        <v>17776000</v>
      </c>
      <c r="G60" s="12" t="n">
        <f>D60/$B$68</f>
        <v>0.00859598853868195</v>
      </c>
      <c r="H60" s="15" t="s">
        <v>209</v>
      </c>
      <c r="I60" s="5"/>
      <c r="J60" s="13" t="s">
        <v>43</v>
      </c>
      <c r="K60" s="13" t="n">
        <f>A60/5000</f>
        <v>1777.6</v>
      </c>
      <c r="L60" s="13" t="n">
        <f>K60*D60</f>
        <v>5332.8</v>
      </c>
      <c r="O60" s="69" t="n">
        <v>8888000</v>
      </c>
      <c r="P60" s="19" t="n">
        <v>0.4</v>
      </c>
      <c r="Q60" s="7" t="n">
        <f>O60*P60/0.6</f>
        <v>5925333.33333333</v>
      </c>
      <c r="R60" s="20" t="n">
        <v>3</v>
      </c>
      <c r="S60" s="6" t="n">
        <f>O60*R60</f>
        <v>26664000</v>
      </c>
      <c r="T60" s="11" t="n">
        <f>Q60*R60</f>
        <v>17776000</v>
      </c>
      <c r="U60" s="12" t="n">
        <f>R60/$P$68</f>
        <v>0.00824175824175824</v>
      </c>
      <c r="V60" s="15" t="s">
        <v>209</v>
      </c>
      <c r="W60" s="5"/>
      <c r="X60" s="13" t="s">
        <v>43</v>
      </c>
      <c r="Y60" s="13" t="n">
        <f>O60/5000</f>
        <v>1777.6</v>
      </c>
      <c r="Z60" s="13" t="n">
        <f>Y60*R60</f>
        <v>5332.8</v>
      </c>
    </row>
    <row r="61" ht="16.5" customHeight="1">
      <c r="A61" s="69" t="n">
        <v>10004000</v>
      </c>
      <c r="B61" s="19" t="n">
        <v>0.4</v>
      </c>
      <c r="C61" s="7" t="n">
        <f>A61*B61/0.6</f>
        <v>6669333.33333333</v>
      </c>
      <c r="D61" s="20" t="n">
        <v>3</v>
      </c>
      <c r="E61" s="6" t="n">
        <f>A61*D61</f>
        <v>30012000</v>
      </c>
      <c r="F61" s="11" t="n">
        <f>C61*D61</f>
        <v>20008000</v>
      </c>
      <c r="G61" s="12" t="n">
        <f>D61/$B$68</f>
        <v>0.00859598853868195</v>
      </c>
      <c r="H61" s="15" t="s">
        <v>210</v>
      </c>
      <c r="I61" s="5"/>
      <c r="J61" s="13" t="s">
        <v>186</v>
      </c>
      <c r="K61" s="13" t="n">
        <f>A61/5000</f>
        <v>2000.8</v>
      </c>
      <c r="L61" s="13" t="n">
        <f>K61*D61</f>
        <v>6002.4</v>
      </c>
      <c r="O61" s="69" t="n">
        <v>10004000</v>
      </c>
      <c r="P61" s="19" t="n">
        <v>0.4</v>
      </c>
      <c r="Q61" s="7" t="n">
        <f>O61*P61/0.6</f>
        <v>6669333.33333333</v>
      </c>
      <c r="R61" s="20" t="n">
        <v>3</v>
      </c>
      <c r="S61" s="6" t="n">
        <f>O61*R61</f>
        <v>30012000</v>
      </c>
      <c r="T61" s="11" t="n">
        <f>Q61*R61</f>
        <v>20008000</v>
      </c>
      <c r="U61" s="12" t="n">
        <f>R61/$P$68</f>
        <v>0.00824175824175824</v>
      </c>
      <c r="V61" s="15" t="s">
        <v>210</v>
      </c>
      <c r="W61" s="5"/>
      <c r="X61" s="13" t="s">
        <v>186</v>
      </c>
      <c r="Y61" s="13" t="n">
        <f>O61/5000</f>
        <v>2000.8</v>
      </c>
      <c r="Z61" s="13" t="n">
        <f>Y61*R61</f>
        <v>6002.4</v>
      </c>
    </row>
    <row r="62" ht="16.5" customHeight="1">
      <c r="A62" s="70" t="n">
        <v>10132000</v>
      </c>
      <c r="B62" s="71" t="n">
        <v>0.4</v>
      </c>
      <c r="C62" s="70" t="n">
        <f>A62*B62/0.6</f>
        <v>6754666.66666667</v>
      </c>
      <c r="D62" s="72" t="n">
        <v>0</v>
      </c>
      <c r="E62" s="70" t="n">
        <f>A62*D62</f>
        <v>0</v>
      </c>
      <c r="F62" s="73" t="n">
        <f>C62*D62</f>
        <v>0</v>
      </c>
      <c r="G62" s="74" t="n">
        <f>D62/$B$68</f>
        <v>0</v>
      </c>
      <c r="H62" s="75"/>
      <c r="I62" s="9"/>
      <c r="J62" s="13" t="s">
        <v>186</v>
      </c>
      <c r="K62" s="13" t="n">
        <f>A62/5000</f>
        <v>2026.4</v>
      </c>
      <c r="L62" s="13" t="n">
        <f>K62*D62</f>
        <v>0</v>
      </c>
      <c r="O62" s="70" t="n">
        <v>10132000</v>
      </c>
      <c r="P62" s="71" t="n">
        <v>0.4</v>
      </c>
      <c r="Q62" s="70" t="n">
        <f>O62*P62/0.6</f>
        <v>6754666.66666667</v>
      </c>
      <c r="R62" s="72" t="n">
        <v>0</v>
      </c>
      <c r="S62" s="70" t="n">
        <f>O62*R62</f>
        <v>0</v>
      </c>
      <c r="T62" s="73" t="n">
        <f>Q62*R62</f>
        <v>0</v>
      </c>
      <c r="U62" s="12" t="n">
        <f>R62/$P$68</f>
        <v>0</v>
      </c>
      <c r="V62" s="75"/>
      <c r="W62" s="9"/>
      <c r="X62" s="13" t="s">
        <v>186</v>
      </c>
      <c r="Y62" s="13" t="n">
        <f>O62/5000</f>
        <v>2026.4</v>
      </c>
      <c r="Z62" s="13" t="n">
        <f>Y62*R62</f>
        <v>0</v>
      </c>
    </row>
    <row r="63" ht="16.5" customHeight="1">
      <c r="A63" s="6"/>
      <c r="B63" s="19"/>
      <c r="C63" s="7"/>
      <c r="D63" s="20"/>
      <c r="E63" s="6"/>
      <c r="F63" s="11"/>
      <c r="G63" s="12"/>
      <c r="H63" s="15"/>
      <c r="I63" s="9"/>
      <c r="J63" s="13"/>
      <c r="K63" s="13" t="n">
        <f>A63/5000</f>
        <v>0</v>
      </c>
      <c r="L63" s="13" t="n">
        <f>K63*D63</f>
        <v>0</v>
      </c>
      <c r="O63" s="6"/>
      <c r="P63" s="19"/>
      <c r="Q63" s="7"/>
      <c r="R63" s="20"/>
      <c r="S63" s="6"/>
      <c r="T63" s="11"/>
      <c r="U63" s="12"/>
      <c r="V63" s="15"/>
      <c r="W63" s="9"/>
      <c r="X63" s="13"/>
      <c r="Y63" s="13" t="n">
        <f>O63/5000</f>
        <v>0</v>
      </c>
      <c r="Z63" s="13" t="n">
        <f>Y63*R63</f>
        <v>0</v>
      </c>
    </row>
    <row r="64" ht="16.5" customHeight="1">
      <c r="A64" s="6"/>
      <c r="B64" s="17"/>
      <c r="C64" s="17"/>
      <c r="D64" s="17"/>
      <c r="E64" s="17"/>
      <c r="F64" s="17"/>
      <c r="G64" s="17"/>
      <c r="H64" s="17"/>
      <c r="I64" s="9"/>
      <c r="J64" s="9"/>
      <c r="K64" s="9"/>
      <c r="L64" s="9"/>
      <c r="O64" s="6"/>
      <c r="P64" s="17"/>
      <c r="Q64" s="17"/>
      <c r="R64" s="17"/>
      <c r="S64" s="17"/>
      <c r="T64" s="17"/>
      <c r="U64" s="17"/>
      <c r="V64" s="17"/>
      <c r="W64" s="9"/>
      <c r="X64" s="9"/>
      <c r="Y64" s="9"/>
      <c r="Z64" s="9"/>
    </row>
    <row r="65" ht="16.5" customHeight="1">
      <c r="A65" s="6"/>
      <c r="B65" s="17"/>
      <c r="C65" s="17"/>
      <c r="D65" s="17"/>
      <c r="E65" s="17"/>
      <c r="F65" s="17"/>
      <c r="G65" s="17"/>
      <c r="H65" s="17"/>
      <c r="I65" s="9"/>
      <c r="J65" s="9"/>
      <c r="K65" s="9"/>
      <c r="L65" s="9"/>
      <c r="O65" s="6"/>
      <c r="P65" s="17"/>
      <c r="Q65" s="17"/>
      <c r="R65" s="17"/>
      <c r="S65" s="17"/>
      <c r="T65" s="17"/>
      <c r="U65" s="17"/>
      <c r="V65" s="17"/>
      <c r="W65" s="9"/>
      <c r="X65" s="9"/>
      <c r="Y65" s="9"/>
      <c r="Z65" s="9"/>
    </row>
    <row r="66" ht="16.5" customHeight="1">
      <c r="A66" s="6"/>
      <c r="B66" s="17"/>
      <c r="C66" s="17"/>
      <c r="D66" s="17"/>
      <c r="E66" s="17"/>
      <c r="F66" s="17"/>
      <c r="G66" s="17"/>
      <c r="H66" s="17"/>
      <c r="I66" s="9"/>
      <c r="J66" s="9"/>
      <c r="K66" s="9"/>
      <c r="L66" s="9"/>
      <c r="O66" s="6"/>
      <c r="P66" s="17"/>
      <c r="Q66" s="17"/>
      <c r="R66" s="17"/>
      <c r="S66" s="17"/>
      <c r="T66" s="17"/>
      <c r="U66" s="17"/>
      <c r="V66" s="17"/>
      <c r="W66" s="9"/>
      <c r="X66" s="9"/>
      <c r="Y66" s="9"/>
      <c r="Z66" s="9"/>
    </row>
    <row r="67" ht="16.5" customHeight="1">
      <c r="A67" s="6"/>
      <c r="B67" s="17"/>
      <c r="C67" s="17"/>
      <c r="D67" s="17"/>
      <c r="E67" s="17"/>
      <c r="F67" s="17"/>
      <c r="G67" s="17"/>
      <c r="H67" s="17"/>
      <c r="I67" s="9"/>
      <c r="J67" s="9"/>
      <c r="K67" s="9"/>
      <c r="L67" s="9"/>
      <c r="O67" s="6"/>
      <c r="P67" s="17"/>
      <c r="Q67" s="17"/>
      <c r="R67" s="17"/>
      <c r="S67" s="17"/>
      <c r="T67" s="17"/>
      <c r="U67" s="17"/>
      <c r="V67" s="17"/>
      <c r="W67" s="9"/>
      <c r="X67" s="9"/>
      <c r="Y67" s="9"/>
      <c r="Z67" s="9"/>
    </row>
    <row r="68" ht="16.5" customHeight="1">
      <c r="A68" s="22" t="s">
        <v>21</v>
      </c>
      <c r="B68" s="23" t="n">
        <f>SUM(D51:D63)</f>
        <v>349</v>
      </c>
      <c r="C68" s="24" t="s">
        <v>22</v>
      </c>
      <c r="D68" s="10"/>
      <c r="E68" s="31" t="n">
        <f>SUM(E51:E63)</f>
        <v>217171000</v>
      </c>
      <c r="F68" s="39" t="s">
        <v>23</v>
      </c>
      <c r="G68" s="40"/>
      <c r="H68" s="41" t="n">
        <f>E68/E70</f>
        <v>1.40150107127185</v>
      </c>
      <c r="I68" s="9"/>
      <c r="J68" s="9"/>
      <c r="K68" s="9"/>
      <c r="L68" s="9"/>
      <c r="O68" s="22" t="s">
        <v>21</v>
      </c>
      <c r="P68" s="23" t="n">
        <f>SUM(R51:R63)</f>
        <v>364</v>
      </c>
      <c r="Q68" s="24" t="s">
        <v>22</v>
      </c>
      <c r="R68" s="10"/>
      <c r="S68" s="31" t="n">
        <f>SUM(S51:S63)</f>
        <v>219136000</v>
      </c>
      <c r="T68" s="39" t="s">
        <v>23</v>
      </c>
      <c r="U68" s="40"/>
      <c r="V68" s="41" t="n">
        <f>S68/S70</f>
        <v>1.35590535590536</v>
      </c>
      <c r="W68" s="9"/>
      <c r="X68" s="9"/>
      <c r="Y68" s="9"/>
      <c r="Z68" s="9"/>
    </row>
    <row r="69" ht="16.5" customHeight="1">
      <c r="A69" s="22" t="s">
        <v>24</v>
      </c>
      <c r="B69" s="22" t="n">
        <f>5*88800</f>
        <v>444000</v>
      </c>
      <c r="C69" s="24" t="s">
        <v>25</v>
      </c>
      <c r="D69" s="10"/>
      <c r="E69" s="31" t="n">
        <f>SUM(F51:F63)</f>
        <v>144780666.666667</v>
      </c>
      <c r="F69" s="39" t="s">
        <v>26</v>
      </c>
      <c r="G69" s="40"/>
      <c r="H69" s="41" t="n">
        <f>E69/E70</f>
        <v>0.934334047514566</v>
      </c>
      <c r="I69" s="9"/>
      <c r="J69" s="9"/>
      <c r="K69" s="9"/>
      <c r="L69" s="9"/>
      <c r="O69" s="22" t="s">
        <v>24</v>
      </c>
      <c r="P69" s="22" t="n">
        <f>5*88800</f>
        <v>444000</v>
      </c>
      <c r="Q69" s="24" t="s">
        <v>25</v>
      </c>
      <c r="R69" s="10"/>
      <c r="S69" s="31" t="n">
        <f>SUM(T51:T63)</f>
        <v>146090666.666667</v>
      </c>
      <c r="T69" s="39" t="s">
        <v>26</v>
      </c>
      <c r="U69" s="40"/>
      <c r="V69" s="41" t="n">
        <f>S69/S70</f>
        <v>0.903936903936906</v>
      </c>
      <c r="W69" s="9"/>
      <c r="X69" s="9"/>
      <c r="Y69" s="9"/>
      <c r="Z69" s="9"/>
    </row>
    <row r="70" ht="16.5" customHeight="1">
      <c r="A70" s="15"/>
      <c r="B70" s="15"/>
      <c r="C70" s="24" t="s">
        <v>27</v>
      </c>
      <c r="D70" s="10"/>
      <c r="E70" s="8" t="n">
        <f>B68*B69</f>
        <v>154956000</v>
      </c>
      <c r="F70" s="39" t="s">
        <v>28</v>
      </c>
      <c r="G70" s="40"/>
      <c r="H70" s="41" t="n">
        <f>E70/E69</f>
        <v>1.07028102278849</v>
      </c>
      <c r="I70" s="9"/>
      <c r="J70" s="9"/>
      <c r="K70" s="9"/>
      <c r="L70" s="9"/>
      <c r="O70" s="15"/>
      <c r="P70" s="15"/>
      <c r="Q70" s="24" t="s">
        <v>27</v>
      </c>
      <c r="R70" s="10"/>
      <c r="S70" s="8" t="n">
        <f>P68*P69</f>
        <v>161616000</v>
      </c>
      <c r="T70" s="39" t="s">
        <v>28</v>
      </c>
      <c r="U70" s="40"/>
      <c r="V70" s="41" t="n">
        <f>S70/S69</f>
        <v>1.1062719042056</v>
      </c>
      <c r="W70" s="9"/>
      <c r="X70" s="9"/>
      <c r="Y70" s="9"/>
      <c r="Z70" s="9"/>
    </row>
    <row r="73" ht="16.5" customHeight="1">
      <c r="A73" s="30" t="s">
        <v>188</v>
      </c>
      <c r="B73" s="27"/>
      <c r="C73" s="27"/>
      <c r="D73" s="27"/>
      <c r="E73" s="27"/>
      <c r="F73" s="27"/>
      <c r="G73" s="27"/>
      <c r="H73" s="28"/>
      <c r="I73" s="9"/>
      <c r="J73" s="9"/>
      <c r="K73" s="9"/>
      <c r="L73" s="9"/>
      <c r="O73" s="30" t="s">
        <v>188</v>
      </c>
      <c r="P73" s="27"/>
      <c r="Q73" s="27"/>
      <c r="R73" s="27"/>
      <c r="S73" s="27"/>
      <c r="T73" s="27"/>
      <c r="U73" s="27"/>
      <c r="V73" s="28"/>
      <c r="W73" s="9"/>
      <c r="X73" s="9"/>
      <c r="Y73" s="9"/>
      <c r="Z73" s="9"/>
    </row>
    <row r="74" ht="16.5" customHeight="1">
      <c r="A74" s="15" t="s">
        <v>211</v>
      </c>
      <c r="B74" s="10"/>
      <c r="C74" s="10"/>
      <c r="D74" s="10"/>
      <c r="E74" s="10"/>
      <c r="F74" s="10"/>
      <c r="G74" s="10"/>
      <c r="H74" s="10"/>
      <c r="I74" s="9"/>
      <c r="J74" s="9"/>
      <c r="K74" s="9"/>
      <c r="L74" s="9"/>
      <c r="O74" s="15" t="s">
        <v>211</v>
      </c>
      <c r="P74" s="10"/>
      <c r="Q74" s="10"/>
      <c r="R74" s="10"/>
      <c r="S74" s="10"/>
      <c r="T74" s="10"/>
      <c r="U74" s="10"/>
      <c r="V74" s="10"/>
      <c r="W74" s="9"/>
      <c r="X74" s="9"/>
      <c r="Y74" s="9"/>
      <c r="Z74" s="9"/>
    </row>
    <row r="75" ht="16.5" customHeight="1">
      <c r="A75" s="17" t="s">
        <v>2</v>
      </c>
      <c r="B75" s="15" t="s">
        <v>3</v>
      </c>
      <c r="C75" s="18" t="s">
        <v>4</v>
      </c>
      <c r="D75" s="20" t="s">
        <v>5</v>
      </c>
      <c r="E75" s="17" t="s">
        <v>6</v>
      </c>
      <c r="F75" s="15" t="s">
        <v>7</v>
      </c>
      <c r="G75" s="15" t="s">
        <v>8</v>
      </c>
      <c r="H75" s="17" t="s">
        <v>9</v>
      </c>
      <c r="I75" s="9" t="s">
        <v>10</v>
      </c>
      <c r="J75" s="9" t="s">
        <v>11</v>
      </c>
      <c r="K75" s="9" t="s">
        <v>12</v>
      </c>
      <c r="L75" s="9"/>
      <c r="O75" s="17" t="s">
        <v>2</v>
      </c>
      <c r="P75" s="15" t="s">
        <v>3</v>
      </c>
      <c r="Q75" s="18" t="s">
        <v>4</v>
      </c>
      <c r="R75" s="20" t="s">
        <v>5</v>
      </c>
      <c r="S75" s="17" t="s">
        <v>6</v>
      </c>
      <c r="T75" s="15" t="s">
        <v>7</v>
      </c>
      <c r="U75" s="15" t="s">
        <v>8</v>
      </c>
      <c r="V75" s="17" t="s">
        <v>9</v>
      </c>
      <c r="W75" s="9" t="s">
        <v>10</v>
      </c>
      <c r="X75" s="9" t="s">
        <v>11</v>
      </c>
      <c r="Y75" s="9" t="s">
        <v>12</v>
      </c>
      <c r="Z75" s="9"/>
    </row>
    <row r="76" ht="16.5" customHeight="1">
      <c r="A76" s="6" t="n">
        <v>188800</v>
      </c>
      <c r="B76" s="19" t="n">
        <v>0.4</v>
      </c>
      <c r="C76" s="7" t="n">
        <f>A76*B76/0.6</f>
        <v>125866.666666667</v>
      </c>
      <c r="D76" s="20" t="n">
        <v>0</v>
      </c>
      <c r="E76" s="6" t="n">
        <f>A76*D76</f>
        <v>0</v>
      </c>
      <c r="F76" s="11" t="n">
        <f>C76*D76</f>
        <v>0</v>
      </c>
      <c r="G76" s="12" t="n">
        <f>D76/$B$93</f>
        <v>0</v>
      </c>
      <c r="H76" s="15"/>
      <c r="I76" s="5"/>
      <c r="J76" s="13"/>
      <c r="K76" s="13" t="n">
        <f>A76/5000</f>
        <v>37.76</v>
      </c>
      <c r="L76" s="13" t="n">
        <f>K76*D76</f>
        <v>0</v>
      </c>
      <c r="O76" s="6" t="n">
        <v>188800</v>
      </c>
      <c r="P76" s="19" t="n">
        <v>0.4</v>
      </c>
      <c r="Q76" s="7" t="n">
        <f>O76*P76/0.6</f>
        <v>125866.666666667</v>
      </c>
      <c r="R76" s="20" t="n">
        <v>0</v>
      </c>
      <c r="S76" s="6" t="n">
        <f>O76*R76</f>
        <v>0</v>
      </c>
      <c r="T76" s="11" t="n">
        <f>Q76*R76</f>
        <v>0</v>
      </c>
      <c r="U76" s="12" t="n">
        <f>R76/$P$93</f>
        <v>0</v>
      </c>
      <c r="V76" s="15"/>
      <c r="W76" s="5"/>
      <c r="X76" s="13"/>
      <c r="Y76" s="13" t="n">
        <f>O76/5000</f>
        <v>37.76</v>
      </c>
      <c r="Z76" s="13" t="n">
        <f>Y76*R76</f>
        <v>0</v>
      </c>
    </row>
    <row r="77" ht="16.5" customHeight="1">
      <c r="A77" s="6" t="n">
        <v>334000</v>
      </c>
      <c r="B77" s="19" t="n">
        <v>0.4</v>
      </c>
      <c r="C77" s="7" t="n">
        <f>A77*B77/0.6</f>
        <v>222666.666666667</v>
      </c>
      <c r="D77" s="76" t="n">
        <v>79</v>
      </c>
      <c r="E77" s="6" t="n">
        <f>A77*D77</f>
        <v>26386000</v>
      </c>
      <c r="F77" s="11" t="n">
        <f>C77*D77</f>
        <v>17590666.6666667</v>
      </c>
      <c r="G77" s="12" t="n">
        <f>D77/$B$93</f>
        <v>0.309803921568627</v>
      </c>
      <c r="H77" s="15" t="s">
        <v>204</v>
      </c>
      <c r="I77" s="9"/>
      <c r="J77" s="13"/>
      <c r="K77" s="13" t="n">
        <f>A77/5000</f>
        <v>66.8</v>
      </c>
      <c r="L77" s="13" t="n">
        <f>K77*D77</f>
        <v>5277.2</v>
      </c>
      <c r="O77" s="6" t="n">
        <v>334000</v>
      </c>
      <c r="P77" s="19" t="n">
        <v>0.4</v>
      </c>
      <c r="Q77" s="7" t="n">
        <f>O77*P77/0.6</f>
        <v>222666.666666667</v>
      </c>
      <c r="R77" s="83" t="n">
        <v>92</v>
      </c>
      <c r="S77" s="6" t="n">
        <f>O77*R77</f>
        <v>30728000</v>
      </c>
      <c r="T77" s="11" t="n">
        <f>Q77*R77</f>
        <v>20485333.3333334</v>
      </c>
      <c r="U77" s="12" t="n">
        <f>R77/$P$93</f>
        <v>0.343283582089552</v>
      </c>
      <c r="V77" s="15" t="s">
        <v>204</v>
      </c>
      <c r="W77" s="9"/>
      <c r="X77" s="13"/>
      <c r="Y77" s="13" t="n">
        <f>O77/5000</f>
        <v>66.8</v>
      </c>
      <c r="Z77" s="13" t="n">
        <f>Y77*R77</f>
        <v>6145.6</v>
      </c>
    </row>
    <row r="78" ht="16.5" customHeight="1">
      <c r="A78" s="6" t="n">
        <v>520000</v>
      </c>
      <c r="B78" s="19" t="n">
        <v>0.4</v>
      </c>
      <c r="C78" s="7" t="n">
        <f>A78*B78/0.6</f>
        <v>346666.666666667</v>
      </c>
      <c r="D78" s="20" t="n">
        <v>20</v>
      </c>
      <c r="E78" s="6" t="n">
        <f>A78*D78</f>
        <v>10400000</v>
      </c>
      <c r="F78" s="11" t="n">
        <f>C78*D78</f>
        <v>6933333.33333334</v>
      </c>
      <c r="G78" s="12" t="n">
        <f>D78/$B$93</f>
        <v>0.0784313725490196</v>
      </c>
      <c r="H78" s="67" t="s">
        <v>88</v>
      </c>
      <c r="I78" s="9"/>
      <c r="J78" s="13"/>
      <c r="K78" s="13" t="n">
        <f>A78/5000</f>
        <v>104</v>
      </c>
      <c r="L78" s="13" t="n">
        <f>K78*D78</f>
        <v>2080</v>
      </c>
      <c r="O78" s="6" t="n">
        <v>520000</v>
      </c>
      <c r="P78" s="19" t="n">
        <v>0.4</v>
      </c>
      <c r="Q78" s="7" t="n">
        <f>O78*P78/0.6</f>
        <v>346666.666666667</v>
      </c>
      <c r="R78" s="20" t="n">
        <v>20</v>
      </c>
      <c r="S78" s="6" t="n">
        <f>O78*R78</f>
        <v>10400000</v>
      </c>
      <c r="T78" s="11" t="n">
        <f>Q78*R78</f>
        <v>6933333.33333334</v>
      </c>
      <c r="U78" s="12" t="n">
        <f>R78/$P$93</f>
        <v>0.0746268656716418</v>
      </c>
      <c r="V78" s="67" t="s">
        <v>88</v>
      </c>
      <c r="W78" s="9"/>
      <c r="X78" s="13"/>
      <c r="Y78" s="13" t="n">
        <f>O78/5000</f>
        <v>104</v>
      </c>
      <c r="Z78" s="13" t="n">
        <f>Y78*R78</f>
        <v>2080</v>
      </c>
    </row>
    <row r="79" ht="16.5" customHeight="1">
      <c r="A79" s="6" t="n">
        <v>666000</v>
      </c>
      <c r="B79" s="19" t="n">
        <v>0.4</v>
      </c>
      <c r="C79" s="7" t="n">
        <f>A79*B79/0.6</f>
        <v>444000</v>
      </c>
      <c r="D79" s="20" t="n">
        <v>60</v>
      </c>
      <c r="E79" s="6" t="n">
        <f>A79*D79</f>
        <v>39960000</v>
      </c>
      <c r="F79" s="11" t="n">
        <f>C79*D79</f>
        <v>26640000</v>
      </c>
      <c r="G79" s="12" t="n">
        <f>D79/$B$93</f>
        <v>0.235294117647059</v>
      </c>
      <c r="H79" s="67" t="s">
        <v>212</v>
      </c>
      <c r="I79" s="5"/>
      <c r="J79" s="13"/>
      <c r="K79" s="13" t="n">
        <f>A79/5000</f>
        <v>133.2</v>
      </c>
      <c r="L79" s="13" t="n">
        <f>K79*D79</f>
        <v>7992</v>
      </c>
      <c r="O79" s="6" t="n">
        <v>666000</v>
      </c>
      <c r="P79" s="19" t="n">
        <v>0.4</v>
      </c>
      <c r="Q79" s="7" t="n">
        <f>O79*P79/0.6</f>
        <v>444000</v>
      </c>
      <c r="R79" s="20" t="n">
        <v>60</v>
      </c>
      <c r="S79" s="6" t="n">
        <f>O79*R79</f>
        <v>39960000</v>
      </c>
      <c r="T79" s="11" t="n">
        <f>Q79*R79</f>
        <v>26640000</v>
      </c>
      <c r="U79" s="12" t="n">
        <f>R79/$P$93</f>
        <v>0.223880597014925</v>
      </c>
      <c r="V79" s="67" t="s">
        <v>212</v>
      </c>
      <c r="W79" s="5"/>
      <c r="X79" s="13"/>
      <c r="Y79" s="13" t="n">
        <f>O79/5000</f>
        <v>133.2</v>
      </c>
      <c r="Z79" s="13" t="n">
        <f>Y79*R79</f>
        <v>7992</v>
      </c>
    </row>
    <row r="80" ht="16.5" customHeight="1">
      <c r="A80" s="6" t="n">
        <v>888000</v>
      </c>
      <c r="B80" s="19" t="n">
        <v>0.4</v>
      </c>
      <c r="C80" s="7" t="n">
        <f>A80*B80/0.6</f>
        <v>592000</v>
      </c>
      <c r="D80" s="20" t="n">
        <v>50</v>
      </c>
      <c r="E80" s="6" t="n">
        <f>A80*D80</f>
        <v>44400000</v>
      </c>
      <c r="F80" s="11" t="n">
        <f>C80*D80</f>
        <v>29600000</v>
      </c>
      <c r="G80" s="12" t="n">
        <f>D80/$B$93</f>
        <v>0.196078431372549</v>
      </c>
      <c r="H80" s="67" t="s">
        <v>206</v>
      </c>
      <c r="I80" s="5"/>
      <c r="J80" s="13"/>
      <c r="K80" s="13" t="n">
        <f>A80/5000</f>
        <v>177.6</v>
      </c>
      <c r="L80" s="13" t="n">
        <f>K80*D80</f>
        <v>8880</v>
      </c>
      <c r="O80" s="6" t="n">
        <v>888000</v>
      </c>
      <c r="P80" s="19" t="n">
        <v>0.4</v>
      </c>
      <c r="Q80" s="7" t="n">
        <f>O80*P80/0.6</f>
        <v>592000</v>
      </c>
      <c r="R80" s="20" t="n">
        <v>50</v>
      </c>
      <c r="S80" s="6" t="n">
        <f>O80*R80</f>
        <v>44400000</v>
      </c>
      <c r="T80" s="11" t="n">
        <f>Q80*R80</f>
        <v>29600000</v>
      </c>
      <c r="U80" s="12" t="n">
        <f>R80/$P$93</f>
        <v>0.186567164179105</v>
      </c>
      <c r="V80" s="67" t="s">
        <v>206</v>
      </c>
      <c r="W80" s="5"/>
      <c r="X80" s="13"/>
      <c r="Y80" s="13" t="n">
        <f>O80/5000</f>
        <v>177.6</v>
      </c>
      <c r="Z80" s="13" t="n">
        <f>Y80*R80</f>
        <v>8880</v>
      </c>
    </row>
    <row r="81" ht="16.5" customHeight="1">
      <c r="A81" s="6" t="n">
        <v>1234000</v>
      </c>
      <c r="B81" s="19" t="n">
        <v>0.4</v>
      </c>
      <c r="C81" s="7" t="n">
        <f>A81*B81/0.6</f>
        <v>822666.666666667</v>
      </c>
      <c r="D81" s="20" t="n">
        <v>20</v>
      </c>
      <c r="E81" s="6" t="n">
        <f>A81*D81</f>
        <v>24680000</v>
      </c>
      <c r="F81" s="11" t="n">
        <f>C81*D81</f>
        <v>16453333.3333333</v>
      </c>
      <c r="G81" s="12" t="n">
        <f>D81/$B$93</f>
        <v>0.0784313725490196</v>
      </c>
      <c r="H81" s="15" t="s">
        <v>60</v>
      </c>
      <c r="I81" s="5"/>
      <c r="J81" s="13" t="s">
        <v>43</v>
      </c>
      <c r="K81" s="13" t="n">
        <f>A81/5000</f>
        <v>246.8</v>
      </c>
      <c r="L81" s="13" t="n">
        <f>K81*D81</f>
        <v>4936</v>
      </c>
      <c r="O81" s="6" t="n">
        <v>1234000</v>
      </c>
      <c r="P81" s="19" t="n">
        <v>0.4</v>
      </c>
      <c r="Q81" s="7" t="n">
        <f>O81*P81/0.6</f>
        <v>822666.666666667</v>
      </c>
      <c r="R81" s="20" t="n">
        <v>20</v>
      </c>
      <c r="S81" s="6" t="n">
        <f>O81*R81</f>
        <v>24680000</v>
      </c>
      <c r="T81" s="11" t="n">
        <f>Q81*R81</f>
        <v>16453333.3333333</v>
      </c>
      <c r="U81" s="12" t="n">
        <f>R81/$P$93</f>
        <v>0.0746268656716418</v>
      </c>
      <c r="V81" s="15" t="s">
        <v>60</v>
      </c>
      <c r="W81" s="5"/>
      <c r="X81" s="13" t="s">
        <v>43</v>
      </c>
      <c r="Y81" s="13" t="n">
        <f>O81/5000</f>
        <v>246.8</v>
      </c>
      <c r="Z81" s="13" t="n">
        <f>Y81*R81</f>
        <v>4936</v>
      </c>
    </row>
    <row r="82" ht="16.5" customHeight="1">
      <c r="A82" s="6" t="n">
        <v>5200000</v>
      </c>
      <c r="B82" s="19" t="n">
        <v>0.4</v>
      </c>
      <c r="C82" s="7" t="n">
        <f>A82*B82/0.6</f>
        <v>3466666.66666667</v>
      </c>
      <c r="D82" s="20" t="n">
        <v>20</v>
      </c>
      <c r="E82" s="6" t="n">
        <f>A82*D82</f>
        <v>104000000</v>
      </c>
      <c r="F82" s="11" t="n">
        <f>C82*D82</f>
        <v>69333333.3333334</v>
      </c>
      <c r="G82" s="12" t="n">
        <f>D82/$B$93</f>
        <v>0.0784313725490196</v>
      </c>
      <c r="H82" s="68" t="s">
        <v>208</v>
      </c>
      <c r="I82" s="9"/>
      <c r="J82" s="13" t="s">
        <v>43</v>
      </c>
      <c r="K82" s="13" t="n">
        <f>A82/5000</f>
        <v>1040</v>
      </c>
      <c r="L82" s="13" t="n">
        <f>K82*D82</f>
        <v>20800</v>
      </c>
      <c r="O82" s="6" t="n">
        <v>5200000</v>
      </c>
      <c r="P82" s="19" t="n">
        <v>0.4</v>
      </c>
      <c r="Q82" s="7" t="n">
        <f>O82*P82/0.6</f>
        <v>3466666.66666667</v>
      </c>
      <c r="R82" s="20" t="n">
        <v>20</v>
      </c>
      <c r="S82" s="6" t="n">
        <f>O82*R82</f>
        <v>104000000</v>
      </c>
      <c r="T82" s="11" t="n">
        <f>Q82*R82</f>
        <v>69333333.3333334</v>
      </c>
      <c r="U82" s="12" t="n">
        <f>R82/$P$93</f>
        <v>0.0746268656716418</v>
      </c>
      <c r="V82" s="68" t="s">
        <v>208</v>
      </c>
      <c r="W82" s="9"/>
      <c r="X82" s="13" t="s">
        <v>43</v>
      </c>
      <c r="Y82" s="13" t="n">
        <f>O82/5000</f>
        <v>1040</v>
      </c>
      <c r="Z82" s="13" t="n">
        <f>Y82*R82</f>
        <v>20800</v>
      </c>
    </row>
    <row r="83" ht="16.5" customHeight="1">
      <c r="A83" s="6" t="n">
        <v>7400000</v>
      </c>
      <c r="B83" s="19" t="n">
        <v>0.4</v>
      </c>
      <c r="C83" s="7" t="n">
        <f>A83*B83/0.6</f>
        <v>4933333.33333333</v>
      </c>
      <c r="D83" s="20" t="n">
        <v>3</v>
      </c>
      <c r="E83" s="6" t="n">
        <f>A83*D83</f>
        <v>22200000</v>
      </c>
      <c r="F83" s="11" t="n">
        <f>C83*D83</f>
        <v>14800000</v>
      </c>
      <c r="G83" s="12" t="n">
        <f>D83/$B$93</f>
        <v>0.0117647058823529</v>
      </c>
      <c r="H83" s="15" t="s">
        <v>213</v>
      </c>
      <c r="I83" s="5"/>
      <c r="J83" s="13" t="s">
        <v>43</v>
      </c>
      <c r="K83" s="13" t="n">
        <f>A83/5000</f>
        <v>1480</v>
      </c>
      <c r="L83" s="13" t="n">
        <f>K83*D83</f>
        <v>4440</v>
      </c>
      <c r="O83" s="6" t="n">
        <v>7400000</v>
      </c>
      <c r="P83" s="19" t="n">
        <v>0.4</v>
      </c>
      <c r="Q83" s="7" t="n">
        <f>O83*P83/0.6</f>
        <v>4933333.33333333</v>
      </c>
      <c r="R83" s="20" t="n">
        <v>3</v>
      </c>
      <c r="S83" s="6" t="n">
        <f>O83*R83</f>
        <v>22200000</v>
      </c>
      <c r="T83" s="11" t="n">
        <f>Q83*R83</f>
        <v>14800000</v>
      </c>
      <c r="U83" s="12" t="n">
        <f>R83/$P$93</f>
        <v>0.0111940298507463</v>
      </c>
      <c r="V83" s="15" t="s">
        <v>213</v>
      </c>
      <c r="W83" s="5"/>
      <c r="X83" s="13" t="s">
        <v>43</v>
      </c>
      <c r="Y83" s="13" t="n">
        <f>O83/5000</f>
        <v>1480</v>
      </c>
      <c r="Z83" s="13" t="n">
        <f>Y83*R83</f>
        <v>4440</v>
      </c>
    </row>
    <row r="84" ht="16.5" customHeight="1">
      <c r="A84" s="69" t="n">
        <v>10132000</v>
      </c>
      <c r="B84" s="19" t="n">
        <v>0.4</v>
      </c>
      <c r="C84" s="7" t="n">
        <f>A84*B84/0.6</f>
        <v>6754666.66666667</v>
      </c>
      <c r="D84" s="20" t="n">
        <v>1</v>
      </c>
      <c r="E84" s="6" t="n">
        <f>A84*D84</f>
        <v>10132000</v>
      </c>
      <c r="F84" s="11" t="n">
        <f>C84*D84</f>
        <v>6754666.66666667</v>
      </c>
      <c r="G84" s="12" t="n">
        <f>D84/$B$93</f>
        <v>0.00392156862745098</v>
      </c>
      <c r="H84" s="15" t="s">
        <v>214</v>
      </c>
      <c r="I84" s="9"/>
      <c r="J84" s="13" t="s">
        <v>186</v>
      </c>
      <c r="K84" s="13" t="n">
        <f>A84/5000</f>
        <v>2026.4</v>
      </c>
      <c r="L84" s="13" t="n">
        <f>K84*D84</f>
        <v>2026.4</v>
      </c>
      <c r="O84" s="69" t="n">
        <v>10132000</v>
      </c>
      <c r="P84" s="19" t="n">
        <v>0.4</v>
      </c>
      <c r="Q84" s="7" t="n">
        <f>O84*P84/0.6</f>
        <v>6754666.66666667</v>
      </c>
      <c r="R84" s="20" t="n">
        <v>1</v>
      </c>
      <c r="S84" s="6" t="n">
        <f>O84*R84</f>
        <v>10132000</v>
      </c>
      <c r="T84" s="11" t="n">
        <f>Q84*R84</f>
        <v>6754666.66666667</v>
      </c>
      <c r="U84" s="12" t="n">
        <f>R84/$P$93</f>
        <v>0.00373134328358209</v>
      </c>
      <c r="V84" s="15" t="s">
        <v>214</v>
      </c>
      <c r="W84" s="9"/>
      <c r="X84" s="13" t="s">
        <v>186</v>
      </c>
      <c r="Y84" s="13" t="n">
        <f>O84/5000</f>
        <v>2026.4</v>
      </c>
      <c r="Z84" s="13" t="n">
        <f>Y84*R84</f>
        <v>2026.4</v>
      </c>
    </row>
    <row r="85" ht="16.5" customHeight="1">
      <c r="A85" s="69" t="n">
        <v>15000000</v>
      </c>
      <c r="B85" s="19" t="n">
        <v>0.4</v>
      </c>
      <c r="C85" s="7" t="n">
        <f>A85*B85/0.6</f>
        <v>10000000</v>
      </c>
      <c r="D85" s="20" t="n">
        <v>1</v>
      </c>
      <c r="E85" s="6" t="n">
        <f>A85*D85</f>
        <v>15000000</v>
      </c>
      <c r="F85" s="11" t="n">
        <f>C85*D85</f>
        <v>10000000</v>
      </c>
      <c r="G85" s="12" t="n">
        <f>D85/$B$93</f>
        <v>0.00392156862745098</v>
      </c>
      <c r="H85" s="15" t="s">
        <v>215</v>
      </c>
      <c r="I85" s="5"/>
      <c r="J85" s="13" t="s">
        <v>186</v>
      </c>
      <c r="K85" s="13" t="n">
        <f>A85/5000</f>
        <v>3000</v>
      </c>
      <c r="L85" s="13" t="n">
        <f>K85*D85</f>
        <v>3000</v>
      </c>
      <c r="O85" s="69" t="n">
        <v>15000000</v>
      </c>
      <c r="P85" s="19" t="n">
        <v>0.4</v>
      </c>
      <c r="Q85" s="7" t="n">
        <f>O85*P85/0.6</f>
        <v>10000000</v>
      </c>
      <c r="R85" s="20" t="n">
        <v>1</v>
      </c>
      <c r="S85" s="6" t="n">
        <f>O85*R85</f>
        <v>15000000</v>
      </c>
      <c r="T85" s="11" t="n">
        <f>Q85*R85</f>
        <v>10000000</v>
      </c>
      <c r="U85" s="12" t="n">
        <f>R85/$P$93</f>
        <v>0.00373134328358209</v>
      </c>
      <c r="V85" s="15" t="s">
        <v>215</v>
      </c>
      <c r="W85" s="5"/>
      <c r="X85" s="13" t="s">
        <v>186</v>
      </c>
      <c r="Y85" s="13" t="n">
        <f>O85/5000</f>
        <v>3000</v>
      </c>
      <c r="Z85" s="13" t="n">
        <f>Y85*R85</f>
        <v>3000</v>
      </c>
    </row>
    <row r="86" ht="16.5" customHeight="1">
      <c r="A86" s="69" t="n">
        <v>20008000</v>
      </c>
      <c r="B86" s="19" t="n">
        <v>0.4</v>
      </c>
      <c r="C86" s="7" t="n">
        <f>A86*B86/0.6</f>
        <v>13338666.6666667</v>
      </c>
      <c r="D86" s="20" t="n">
        <v>1</v>
      </c>
      <c r="E86" s="6" t="n">
        <f>A86*D86</f>
        <v>20008000</v>
      </c>
      <c r="F86" s="11" t="n">
        <f>C86*D86</f>
        <v>13338666.6666667</v>
      </c>
      <c r="G86" s="12" t="n">
        <f>D86/$B$93</f>
        <v>0.00392156862745098</v>
      </c>
      <c r="H86" s="15" t="s">
        <v>216</v>
      </c>
      <c r="I86" s="5" t="n">
        <f>A81*12+A78*10</f>
        <v>20008000</v>
      </c>
      <c r="J86" s="13" t="s">
        <v>186</v>
      </c>
      <c r="K86" s="13" t="n">
        <f>A86/5000</f>
        <v>4001.6</v>
      </c>
      <c r="L86" s="13" t="n">
        <f>K86*D86</f>
        <v>4001.6</v>
      </c>
      <c r="O86" s="69" t="n">
        <v>20008000</v>
      </c>
      <c r="P86" s="19" t="n">
        <v>0.4</v>
      </c>
      <c r="Q86" s="7" t="n">
        <f>O86*P86/0.6</f>
        <v>13338666.6666667</v>
      </c>
      <c r="R86" s="20" t="n">
        <v>1</v>
      </c>
      <c r="S86" s="6" t="n">
        <f>O86*R86</f>
        <v>20008000</v>
      </c>
      <c r="T86" s="11" t="n">
        <f>Q86*R86</f>
        <v>13338666.6666667</v>
      </c>
      <c r="U86" s="12" t="n">
        <f>R86/$P$93</f>
        <v>0.00373134328358209</v>
      </c>
      <c r="V86" s="15" t="s">
        <v>216</v>
      </c>
      <c r="W86" s="5" t="n">
        <f>O81*12+O78*10</f>
        <v>20008000</v>
      </c>
      <c r="X86" s="13" t="s">
        <v>186</v>
      </c>
      <c r="Y86" s="13" t="n">
        <f>O86/5000</f>
        <v>4001.6</v>
      </c>
      <c r="Z86" s="13" t="n">
        <f>Y86*R86</f>
        <v>4001.6</v>
      </c>
    </row>
    <row r="87" ht="16.5" customHeight="1">
      <c r="A87" s="6"/>
      <c r="B87" s="19"/>
      <c r="C87" s="7"/>
      <c r="D87" s="20"/>
      <c r="E87" s="6"/>
      <c r="F87" s="11"/>
      <c r="G87" s="12"/>
      <c r="H87" s="15"/>
      <c r="I87" s="5" t="n">
        <f>A86-I86</f>
        <v>0</v>
      </c>
      <c r="J87" s="13"/>
      <c r="K87" s="13"/>
      <c r="L87" s="13"/>
      <c r="O87" s="6"/>
      <c r="P87" s="19"/>
      <c r="Q87" s="7"/>
      <c r="R87" s="20"/>
      <c r="S87" s="6"/>
      <c r="T87" s="11"/>
      <c r="U87" s="12"/>
      <c r="V87" s="15"/>
      <c r="W87" s="5" t="n">
        <f>O86-W86</f>
        <v>0</v>
      </c>
      <c r="X87" s="13"/>
      <c r="Y87" s="13"/>
      <c r="Z87" s="13"/>
    </row>
    <row r="88" ht="16.5" customHeight="1">
      <c r="A88" s="6"/>
      <c r="B88" s="19"/>
      <c r="C88" s="7"/>
      <c r="D88" s="20"/>
      <c r="E88" s="6"/>
      <c r="F88" s="11"/>
      <c r="G88" s="12"/>
      <c r="H88" s="15"/>
      <c r="I88" s="9"/>
      <c r="J88" s="13"/>
      <c r="K88" s="13"/>
      <c r="L88" s="13"/>
      <c r="O88" s="6"/>
      <c r="P88" s="19"/>
      <c r="Q88" s="7"/>
      <c r="R88" s="20"/>
      <c r="S88" s="6"/>
      <c r="T88" s="11"/>
      <c r="U88" s="12"/>
      <c r="V88" s="15"/>
      <c r="W88" s="9"/>
      <c r="X88" s="13"/>
      <c r="Y88" s="13"/>
      <c r="Z88" s="13"/>
    </row>
    <row r="89" ht="16.5" customHeight="1">
      <c r="A89" s="6"/>
      <c r="B89" s="17"/>
      <c r="C89" s="17"/>
      <c r="D89" s="17"/>
      <c r="E89" s="17"/>
      <c r="F89" s="17"/>
      <c r="G89" s="17"/>
      <c r="H89" s="17"/>
      <c r="I89" s="9"/>
      <c r="J89" s="9"/>
      <c r="K89" s="9"/>
      <c r="L89" s="9"/>
      <c r="O89" s="6"/>
      <c r="P89" s="17"/>
      <c r="Q89" s="17"/>
      <c r="R89" s="17"/>
      <c r="S89" s="17"/>
      <c r="T89" s="17"/>
      <c r="U89" s="17"/>
      <c r="V89" s="17"/>
      <c r="W89" s="9"/>
      <c r="X89" s="9"/>
      <c r="Y89" s="9"/>
      <c r="Z89" s="9"/>
    </row>
    <row r="90" ht="16.5" customHeight="1">
      <c r="A90" s="6"/>
      <c r="B90" s="17"/>
      <c r="C90" s="17"/>
      <c r="D90" s="17"/>
      <c r="E90" s="17"/>
      <c r="F90" s="17"/>
      <c r="G90" s="17"/>
      <c r="H90" s="17"/>
      <c r="I90" s="9"/>
      <c r="J90" s="9"/>
      <c r="K90" s="9"/>
      <c r="L90" s="9"/>
      <c r="O90" s="6"/>
      <c r="P90" s="17"/>
      <c r="Q90" s="17"/>
      <c r="R90" s="17"/>
      <c r="S90" s="17"/>
      <c r="T90" s="17"/>
      <c r="U90" s="17"/>
      <c r="V90" s="17"/>
      <c r="W90" s="9"/>
      <c r="X90" s="9"/>
      <c r="Y90" s="9"/>
      <c r="Z90" s="9"/>
    </row>
    <row r="91" ht="16.5" customHeight="1">
      <c r="A91" s="6"/>
      <c r="B91" s="17"/>
      <c r="C91" s="17"/>
      <c r="D91" s="17"/>
      <c r="E91" s="17"/>
      <c r="F91" s="17"/>
      <c r="G91" s="17"/>
      <c r="H91" s="17"/>
      <c r="I91" s="9"/>
      <c r="J91" s="9"/>
      <c r="K91" s="9"/>
      <c r="L91" s="9"/>
      <c r="O91" s="6"/>
      <c r="P91" s="17"/>
      <c r="Q91" s="17"/>
      <c r="R91" s="17"/>
      <c r="S91" s="17"/>
      <c r="T91" s="17"/>
      <c r="U91" s="17"/>
      <c r="V91" s="17"/>
      <c r="W91" s="9"/>
      <c r="X91" s="9"/>
      <c r="Y91" s="9"/>
      <c r="Z91" s="9"/>
    </row>
    <row r="92" ht="16.5" customHeight="1">
      <c r="A92" s="6"/>
      <c r="B92" s="17"/>
      <c r="C92" s="17"/>
      <c r="D92" s="17"/>
      <c r="E92" s="17"/>
      <c r="F92" s="17"/>
      <c r="G92" s="17"/>
      <c r="H92" s="17"/>
      <c r="I92" s="9"/>
      <c r="J92" s="9"/>
      <c r="K92" s="9"/>
      <c r="L92" s="9"/>
      <c r="O92" s="6"/>
      <c r="P92" s="17"/>
      <c r="Q92" s="17"/>
      <c r="R92" s="17"/>
      <c r="S92" s="17"/>
      <c r="T92" s="17"/>
      <c r="U92" s="17"/>
      <c r="V92" s="17"/>
      <c r="W92" s="9"/>
      <c r="X92" s="9"/>
      <c r="Y92" s="9"/>
      <c r="Z92" s="9"/>
    </row>
    <row r="93" ht="16.5" customHeight="1">
      <c r="A93" s="22" t="s">
        <v>21</v>
      </c>
      <c r="B93" s="23" t="n">
        <f>SUM(D76:D88)</f>
        <v>255</v>
      </c>
      <c r="C93" s="24" t="s">
        <v>22</v>
      </c>
      <c r="D93" s="10"/>
      <c r="E93" s="31" t="n">
        <f>SUM(E76:E88)</f>
        <v>317166000</v>
      </c>
      <c r="F93" s="39" t="s">
        <v>23</v>
      </c>
      <c r="G93" s="40"/>
      <c r="H93" s="41" t="n">
        <f>E93/E95</f>
        <v>1.40066242713302</v>
      </c>
      <c r="I93" s="9"/>
      <c r="J93" s="9"/>
      <c r="K93" s="9"/>
      <c r="L93" s="9"/>
      <c r="O93" s="22" t="s">
        <v>21</v>
      </c>
      <c r="P93" s="23" t="n">
        <f>SUM(R76:R88)</f>
        <v>268</v>
      </c>
      <c r="Q93" s="24" t="s">
        <v>22</v>
      </c>
      <c r="R93" s="10"/>
      <c r="S93" s="31" t="n">
        <f>SUM(S76:S88)</f>
        <v>321508000</v>
      </c>
      <c r="T93" s="39" t="s">
        <v>23</v>
      </c>
      <c r="U93" s="40"/>
      <c r="V93" s="41" t="n">
        <f>S93/S95</f>
        <v>1.35096477074089</v>
      </c>
      <c r="W93" s="9"/>
      <c r="X93" s="9"/>
      <c r="Y93" s="9"/>
      <c r="Z93" s="9"/>
    </row>
    <row r="94" ht="16.5" customHeight="1">
      <c r="A94" s="22" t="s">
        <v>24</v>
      </c>
      <c r="B94" s="22" t="n">
        <f>10*88800</f>
        <v>888000</v>
      </c>
      <c r="C94" s="24" t="s">
        <v>25</v>
      </c>
      <c r="D94" s="10"/>
      <c r="E94" s="31" t="n">
        <f>SUM(F76:F88)</f>
        <v>211444000</v>
      </c>
      <c r="F94" s="39" t="s">
        <v>26</v>
      </c>
      <c r="G94" s="40"/>
      <c r="H94" s="41" t="n">
        <f>E94/E95</f>
        <v>0.93377495142201</v>
      </c>
      <c r="I94" s="9"/>
      <c r="J94" s="9"/>
      <c r="K94" s="9"/>
      <c r="L94" s="9"/>
      <c r="O94" s="22" t="s">
        <v>24</v>
      </c>
      <c r="P94" s="22" t="n">
        <f>10*88800</f>
        <v>888000</v>
      </c>
      <c r="Q94" s="24" t="s">
        <v>25</v>
      </c>
      <c r="R94" s="10"/>
      <c r="S94" s="31" t="n">
        <f>SUM(T76:T88)</f>
        <v>214338666.666667</v>
      </c>
      <c r="T94" s="39" t="s">
        <v>26</v>
      </c>
      <c r="U94" s="40"/>
      <c r="V94" s="41" t="n">
        <f>S94/S95</f>
        <v>0.900643180493928</v>
      </c>
      <c r="W94" s="9"/>
      <c r="X94" s="9"/>
      <c r="Y94" s="9"/>
      <c r="Z94" s="9"/>
    </row>
    <row r="95" ht="16.5" customHeight="1">
      <c r="A95" s="15"/>
      <c r="B95" s="15"/>
      <c r="C95" s="24" t="s">
        <v>27</v>
      </c>
      <c r="D95" s="10"/>
      <c r="E95" s="8" t="n">
        <f>B93*B94</f>
        <v>226440000</v>
      </c>
      <c r="F95" s="39" t="s">
        <v>28</v>
      </c>
      <c r="G95" s="40"/>
      <c r="H95" s="41" t="n">
        <f>E95/E94</f>
        <v>1.07092185164866</v>
      </c>
      <c r="I95" s="9"/>
      <c r="J95" s="9"/>
      <c r="K95" s="9"/>
      <c r="L95" s="9"/>
      <c r="O95" s="15"/>
      <c r="P95" s="15"/>
      <c r="Q95" s="24" t="s">
        <v>27</v>
      </c>
      <c r="R95" s="10"/>
      <c r="S95" s="8" t="n">
        <f>P93*P94</f>
        <v>237984000</v>
      </c>
      <c r="T95" s="39" t="s">
        <v>28</v>
      </c>
      <c r="U95" s="40"/>
      <c r="V95" s="41" t="n">
        <f>S95/S94</f>
        <v>1.11031762817721</v>
      </c>
      <c r="W95" s="9"/>
      <c r="X95" s="9"/>
      <c r="Y95" s="9"/>
      <c r="Z95" s="9"/>
    </row>
  </sheetData>
  <mergeCells count="64">
    <mergeCell ref="F18:G18"/>
    <mergeCell ref="F19:G19"/>
    <mergeCell ref="A1:H1"/>
    <mergeCell ref="A2:H2"/>
    <mergeCell ref="C18:D18"/>
    <mergeCell ref="C19:D19"/>
    <mergeCell ref="C20:D20"/>
    <mergeCell ref="F20:G20"/>
    <mergeCell ref="F43:G43"/>
    <mergeCell ref="F44:G44"/>
    <mergeCell ref="A23:H23"/>
    <mergeCell ref="A24:H24"/>
    <mergeCell ref="C43:D43"/>
    <mergeCell ref="C44:D44"/>
    <mergeCell ref="C45:D45"/>
    <mergeCell ref="F45:G45"/>
    <mergeCell ref="F68:G68"/>
    <mergeCell ref="F69:G69"/>
    <mergeCell ref="A48:H48"/>
    <mergeCell ref="A49:H49"/>
    <mergeCell ref="C68:D68"/>
    <mergeCell ref="C69:D69"/>
    <mergeCell ref="C70:D70"/>
    <mergeCell ref="F70:G70"/>
    <mergeCell ref="F93:G93"/>
    <mergeCell ref="F94:G94"/>
    <mergeCell ref="A73:H73"/>
    <mergeCell ref="A74:H74"/>
    <mergeCell ref="C93:D93"/>
    <mergeCell ref="C94:D94"/>
    <mergeCell ref="C95:D95"/>
    <mergeCell ref="F95:G95"/>
    <mergeCell ref="T18:U18"/>
    <mergeCell ref="T19:U19"/>
    <mergeCell ref="O1:V1"/>
    <mergeCell ref="O2:V2"/>
    <mergeCell ref="Q18:R18"/>
    <mergeCell ref="Q19:R19"/>
    <mergeCell ref="Q20:R20"/>
    <mergeCell ref="T20:U20"/>
    <mergeCell ref="T43:U43"/>
    <mergeCell ref="T44:U44"/>
    <mergeCell ref="O23:V23"/>
    <mergeCell ref="O24:V24"/>
    <mergeCell ref="Q43:R43"/>
    <mergeCell ref="Q44:R44"/>
    <mergeCell ref="Q45:R45"/>
    <mergeCell ref="T45:U45"/>
    <mergeCell ref="T68:U68"/>
    <mergeCell ref="T69:U69"/>
    <mergeCell ref="O48:V48"/>
    <mergeCell ref="O49:V49"/>
    <mergeCell ref="Q68:R68"/>
    <mergeCell ref="Q69:R69"/>
    <mergeCell ref="Q70:R70"/>
    <mergeCell ref="T70:U70"/>
    <mergeCell ref="T93:U93"/>
    <mergeCell ref="T94:U94"/>
    <mergeCell ref="O73:V73"/>
    <mergeCell ref="O74:V74"/>
    <mergeCell ref="Q93:R93"/>
    <mergeCell ref="Q94:R94"/>
    <mergeCell ref="Q95:R95"/>
    <mergeCell ref="T95:U95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30" t="s">
        <v>217</v>
      </c>
      <c r="B1" s="27"/>
      <c r="C1" s="27"/>
      <c r="D1" s="27"/>
      <c r="E1" s="27"/>
      <c r="F1" s="27"/>
      <c r="G1" s="27"/>
      <c r="H1" s="28"/>
      <c r="I1" s="9"/>
      <c r="J1" s="9"/>
    </row>
    <row r="2" ht="16.5" customHeight="1">
      <c r="A2" s="15" t="s">
        <v>93</v>
      </c>
      <c r="B2" s="10"/>
      <c r="C2" s="10"/>
      <c r="D2" s="10"/>
      <c r="E2" s="10"/>
      <c r="F2" s="10"/>
      <c r="G2" s="10"/>
      <c r="H2" s="10"/>
      <c r="I2" s="9"/>
      <c r="J2" s="9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9" t="s">
        <v>12</v>
      </c>
      <c r="J3" s="9"/>
    </row>
    <row r="4" ht="16.5" customHeight="1">
      <c r="A4" s="6" t="n">
        <v>1000</v>
      </c>
      <c r="B4" s="19" t="n">
        <v>0.4</v>
      </c>
      <c r="C4" s="7" t="n">
        <f>A4*B4/0.6</f>
        <v>666.666666666667</v>
      </c>
      <c r="D4" s="76" t="n">
        <v>159</v>
      </c>
      <c r="E4" s="6" t="n">
        <f>A4*D4</f>
        <v>159000</v>
      </c>
      <c r="F4" s="11" t="n">
        <f>C4*D4</f>
        <v>106000</v>
      </c>
      <c r="G4" s="12" t="n">
        <f>D4/$B$10</f>
        <v>0.716216216216216</v>
      </c>
      <c r="H4" s="15" t="s">
        <v>218</v>
      </c>
      <c r="I4" s="13" t="n">
        <v>1</v>
      </c>
      <c r="J4" s="13" t="n">
        <f>I4*D4</f>
        <v>159</v>
      </c>
      <c r="K4" s="4" t="n">
        <v>1</v>
      </c>
    </row>
    <row r="5" ht="16.5" customHeight="1">
      <c r="A5" s="6" t="n">
        <v>10000</v>
      </c>
      <c r="B5" s="19" t="n">
        <v>0.4</v>
      </c>
      <c r="C5" s="7" t="n">
        <f>A5*B5/0.6</f>
        <v>6666.66666666667</v>
      </c>
      <c r="D5" s="20" t="n">
        <v>50</v>
      </c>
      <c r="E5" s="6" t="n">
        <f>A5*D5</f>
        <v>500000</v>
      </c>
      <c r="F5" s="11" t="n">
        <f>C5*D5</f>
        <v>333333.333333334</v>
      </c>
      <c r="G5" s="12" t="n">
        <f>D5/$B$10</f>
        <v>0.225225225225225</v>
      </c>
      <c r="H5" s="15" t="s">
        <v>219</v>
      </c>
      <c r="I5" s="13" t="n">
        <f>A5/5000</f>
        <v>2</v>
      </c>
      <c r="J5" s="13" t="n">
        <f>I5*D5</f>
        <v>100</v>
      </c>
      <c r="K5" s="4" t="n">
        <v>1</v>
      </c>
    </row>
    <row r="6" ht="16.5" customHeight="1">
      <c r="A6" s="6" t="n">
        <v>20000</v>
      </c>
      <c r="B6" s="19" t="n">
        <v>0.4</v>
      </c>
      <c r="C6" s="7" t="n">
        <f>A6*B6/0.6</f>
        <v>13333.3333333333</v>
      </c>
      <c r="D6" s="76" t="n">
        <v>10</v>
      </c>
      <c r="E6" s="6" t="n">
        <f>A6*D6</f>
        <v>200000</v>
      </c>
      <c r="F6" s="11" t="n">
        <f>C6*D6</f>
        <v>133333.333333333</v>
      </c>
      <c r="G6" s="12" t="n">
        <f>D6/$B$10</f>
        <v>0.045045045045045</v>
      </c>
      <c r="H6" s="15" t="s">
        <v>220</v>
      </c>
      <c r="I6" s="13" t="n">
        <f>A6/5000</f>
        <v>4</v>
      </c>
      <c r="J6" s="13" t="n">
        <f>I6*D6</f>
        <v>40</v>
      </c>
      <c r="K6" s="4" t="n">
        <v>1</v>
      </c>
    </row>
    <row r="7" ht="16.5" customHeight="1">
      <c r="A7" s="6" t="n">
        <v>100000</v>
      </c>
      <c r="B7" s="19" t="n">
        <v>0.4</v>
      </c>
      <c r="C7" s="7" t="n">
        <f>A7*B7/0.6</f>
        <v>66666.6666666667</v>
      </c>
      <c r="D7" s="76" t="n">
        <v>2</v>
      </c>
      <c r="E7" s="6" t="n">
        <f>A7*D7</f>
        <v>200000</v>
      </c>
      <c r="F7" s="11" t="n">
        <f>C7*D7</f>
        <v>133333.333333333</v>
      </c>
      <c r="G7" s="12" t="n">
        <f>D7/$B$10</f>
        <v>0.00900900900900901</v>
      </c>
      <c r="H7" s="21" t="s">
        <v>221</v>
      </c>
      <c r="I7" s="13" t="n">
        <f>A7/5000</f>
        <v>20</v>
      </c>
      <c r="J7" s="13" t="n">
        <f>I7*D7</f>
        <v>40</v>
      </c>
      <c r="K7" s="4" t="n">
        <v>1</v>
      </c>
    </row>
    <row r="8" ht="16.5" customHeight="1">
      <c r="A8" s="6" t="n">
        <v>500000</v>
      </c>
      <c r="B8" s="19" t="n">
        <v>0.4</v>
      </c>
      <c r="C8" s="7" t="n">
        <f>A8*B8/0.6</f>
        <v>333333.333333333</v>
      </c>
      <c r="D8" s="76" t="n">
        <v>1</v>
      </c>
      <c r="E8" s="6" t="n">
        <f>A8*D8</f>
        <v>500000</v>
      </c>
      <c r="F8" s="11" t="n">
        <f>C8*D8</f>
        <v>333333.333333333</v>
      </c>
      <c r="G8" s="12" t="n">
        <f>D8/$B$10</f>
        <v>0.0045045045045045</v>
      </c>
      <c r="H8" s="15" t="s">
        <v>222</v>
      </c>
      <c r="I8" s="13" t="n">
        <f>A8/5000</f>
        <v>100</v>
      </c>
      <c r="J8" s="13" t="n">
        <f>I8*D8</f>
        <v>100</v>
      </c>
      <c r="K8" s="4" t="n">
        <v>1</v>
      </c>
    </row>
    <row r="9" ht="16.5" customHeight="1">
      <c r="A9" s="17"/>
      <c r="B9" s="17"/>
      <c r="C9" s="17"/>
      <c r="D9" s="17"/>
      <c r="E9" s="17"/>
      <c r="F9" s="17"/>
      <c r="G9" s="17"/>
      <c r="H9" s="17"/>
      <c r="I9" s="9"/>
      <c r="J9" s="9"/>
    </row>
    <row r="10" ht="16.5" customHeight="1">
      <c r="A10" s="22" t="s">
        <v>21</v>
      </c>
      <c r="B10" s="23" t="n">
        <f>SUM(D4:D8)</f>
        <v>222</v>
      </c>
      <c r="C10" s="24" t="s">
        <v>22</v>
      </c>
      <c r="D10" s="10"/>
      <c r="E10" s="31" t="n">
        <f>SUM(E4:E8)</f>
        <v>1559000</v>
      </c>
      <c r="F10" s="39" t="s">
        <v>23</v>
      </c>
      <c r="G10" s="40"/>
      <c r="H10" s="41" t="n">
        <f>E10/E12</f>
        <v>1.4045045045045</v>
      </c>
      <c r="I10" s="9"/>
      <c r="J10" s="9"/>
    </row>
    <row r="11" ht="16.5" customHeight="1">
      <c r="A11" s="22" t="s">
        <v>24</v>
      </c>
      <c r="B11" s="22" t="n">
        <v>5000</v>
      </c>
      <c r="C11" s="24" t="s">
        <v>25</v>
      </c>
      <c r="D11" s="10"/>
      <c r="E11" s="31" t="n">
        <f>SUM(F4:F8)</f>
        <v>1039333.33333333</v>
      </c>
      <c r="F11" s="39" t="s">
        <v>26</v>
      </c>
      <c r="G11" s="40"/>
      <c r="H11" s="41" t="n">
        <f>E11/E12</f>
        <v>0.936336336336333</v>
      </c>
      <c r="I11" s="9"/>
      <c r="J11" s="9"/>
    </row>
    <row r="12" ht="16.5" customHeight="1">
      <c r="A12" s="15"/>
      <c r="B12" s="15"/>
      <c r="C12" s="24" t="s">
        <v>27</v>
      </c>
      <c r="D12" s="10"/>
      <c r="E12" s="8" t="n">
        <f>B10*B11</f>
        <v>1110000</v>
      </c>
      <c r="F12" s="39" t="s">
        <v>28</v>
      </c>
      <c r="G12" s="40"/>
      <c r="H12" s="41" t="n">
        <f>E12/E11</f>
        <v>1.06799230275818</v>
      </c>
      <c r="I12" s="9"/>
      <c r="J12" s="9"/>
    </row>
    <row r="13" ht="16.5" customHeight="1">
      <c r="A13" s="9" t="s">
        <v>51</v>
      </c>
      <c r="B13" s="34" t="s">
        <v>117</v>
      </c>
    </row>
    <row r="14" ht="16.5" customHeight="1">
      <c r="A14" s="9" t="s">
        <v>64</v>
      </c>
      <c r="B14" s="34" t="s">
        <v>117</v>
      </c>
    </row>
    <row r="15" ht="16.5" customHeight="1">
      <c r="A15" s="9" t="s">
        <v>74</v>
      </c>
      <c r="B15" s="34" t="s">
        <v>117</v>
      </c>
    </row>
    <row r="16" ht="16.5" customHeight="1">
      <c r="A16" s="9" t="s">
        <v>77</v>
      </c>
      <c r="B16" s="34" t="s">
        <v>117</v>
      </c>
    </row>
  </sheetData>
  <mergeCells count="8">
    <mergeCell ref="F10:G10"/>
    <mergeCell ref="F11:G11"/>
    <mergeCell ref="A1:H1"/>
    <mergeCell ref="A2:H2"/>
    <mergeCell ref="C10:D10"/>
    <mergeCell ref="C11:D11"/>
    <mergeCell ref="C12:D12"/>
    <mergeCell ref="F12:G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30" t="s">
        <v>223</v>
      </c>
      <c r="B1" s="27"/>
      <c r="C1" s="27"/>
      <c r="D1" s="27"/>
      <c r="E1" s="27"/>
      <c r="F1" s="27"/>
      <c r="G1" s="27"/>
      <c r="H1" s="28"/>
    </row>
    <row r="2" ht="16.5" customHeight="1">
      <c r="A2" s="15" t="s">
        <v>224</v>
      </c>
      <c r="B2" s="10"/>
      <c r="C2" s="10"/>
      <c r="D2" s="10"/>
      <c r="E2" s="10"/>
      <c r="F2" s="10"/>
      <c r="G2" s="10"/>
      <c r="H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4" t="s">
        <v>12</v>
      </c>
      <c r="J3" s="4" t="s">
        <v>11</v>
      </c>
    </row>
    <row r="4" ht="16.5" customHeight="1">
      <c r="A4" s="6" t="n">
        <v>10000</v>
      </c>
      <c r="B4" s="19" t="n">
        <v>0.4</v>
      </c>
      <c r="C4" s="7" t="n">
        <f>A4*B4/0.6</f>
        <v>6666.66666666667</v>
      </c>
      <c r="D4" s="26" t="n">
        <v>325</v>
      </c>
      <c r="E4" s="6" t="n">
        <f>A4*D4</f>
        <v>3250000</v>
      </c>
      <c r="F4" s="11" t="n">
        <f>C4*D4</f>
        <v>2166666.66666667</v>
      </c>
      <c r="G4" s="12" t="n">
        <f>D4/$B$13</f>
        <v>0.534539473684211</v>
      </c>
      <c r="H4" s="15" t="s">
        <v>225</v>
      </c>
      <c r="I4" s="13" t="n">
        <v>1</v>
      </c>
    </row>
    <row r="5" ht="16.5" customHeight="1">
      <c r="A5" s="6" t="n">
        <v>50000</v>
      </c>
      <c r="B5" s="19" t="n">
        <v>0.4</v>
      </c>
      <c r="C5" s="7" t="n">
        <f>A5*B5/0.6</f>
        <v>33333.3333333333</v>
      </c>
      <c r="D5" s="36" t="n">
        <v>132</v>
      </c>
      <c r="E5" s="6" t="n">
        <f>A5*D5</f>
        <v>6600000</v>
      </c>
      <c r="F5" s="11" t="n">
        <f>C5*D5</f>
        <v>4400000</v>
      </c>
      <c r="G5" s="12" t="n">
        <f>D5/$B$13</f>
        <v>0.217105263157895</v>
      </c>
      <c r="H5" s="21" t="s">
        <v>226</v>
      </c>
      <c r="I5" s="13" t="n">
        <f>A5/5000</f>
        <v>10</v>
      </c>
    </row>
    <row r="6" ht="16.5" customHeight="1">
      <c r="A6" s="6" t="n">
        <v>100000</v>
      </c>
      <c r="B6" s="19" t="n">
        <v>0.4</v>
      </c>
      <c r="C6" s="7" t="n">
        <f>A6*B6/0.6</f>
        <v>66666.6666666667</v>
      </c>
      <c r="D6" s="36" t="n">
        <v>100</v>
      </c>
      <c r="E6" s="6" t="n">
        <f>A6*D6</f>
        <v>10000000</v>
      </c>
      <c r="F6" s="11" t="n">
        <f>C6*D6</f>
        <v>6666666.66666667</v>
      </c>
      <c r="G6" s="12" t="n">
        <f>D6/$B$13</f>
        <v>0.164473684210526</v>
      </c>
      <c r="H6" s="21" t="s">
        <v>227</v>
      </c>
      <c r="I6" s="13" t="n">
        <f>A6/5000</f>
        <v>20</v>
      </c>
    </row>
    <row r="7" ht="16.5" customHeight="1">
      <c r="A7" s="6" t="n">
        <v>200000</v>
      </c>
      <c r="B7" s="19" t="n">
        <v>0.4</v>
      </c>
      <c r="C7" s="7" t="n">
        <f>A7*B7/0.6</f>
        <v>133333.333333333</v>
      </c>
      <c r="D7" s="36" t="n">
        <v>20</v>
      </c>
      <c r="E7" s="6" t="n">
        <f>A7*D7</f>
        <v>4000000</v>
      </c>
      <c r="F7" s="11" t="n">
        <f>C7*D7</f>
        <v>2666666.66666666</v>
      </c>
      <c r="G7" s="12" t="n">
        <f>D7/$B$13</f>
        <v>0.0328947368421053</v>
      </c>
      <c r="H7" s="15" t="s">
        <v>228</v>
      </c>
      <c r="I7" s="13" t="n">
        <f>A7/5000</f>
        <v>40</v>
      </c>
    </row>
    <row r="8" ht="16.5" customHeight="1">
      <c r="A8" s="6" t="n">
        <v>300000</v>
      </c>
      <c r="B8" s="19" t="n">
        <v>0.4</v>
      </c>
      <c r="C8" s="7" t="n">
        <f>A8*B8/0.6</f>
        <v>200000</v>
      </c>
      <c r="D8" s="36" t="n">
        <v>20</v>
      </c>
      <c r="E8" s="6" t="n">
        <f>A8*D8</f>
        <v>6000000</v>
      </c>
      <c r="F8" s="11" t="n">
        <f>C8*D8</f>
        <v>4000000</v>
      </c>
      <c r="G8" s="12" t="n">
        <f>D8/$B$13</f>
        <v>0.0328947368421053</v>
      </c>
      <c r="H8" s="15" t="s">
        <v>229</v>
      </c>
      <c r="I8" s="13" t="n">
        <f>A8/5000</f>
        <v>60</v>
      </c>
    </row>
    <row r="9" ht="16.5" customHeight="1">
      <c r="A9" s="6" t="n">
        <v>500000</v>
      </c>
      <c r="B9" s="19" t="n">
        <v>0.4</v>
      </c>
      <c r="C9" s="7" t="n">
        <f>A9*B9/0.6</f>
        <v>333333.333333333</v>
      </c>
      <c r="D9" s="36" t="n">
        <v>8</v>
      </c>
      <c r="E9" s="6" t="n">
        <f>A9*D9</f>
        <v>4000000</v>
      </c>
      <c r="F9" s="11" t="n">
        <f>C9*D9</f>
        <v>2666666.66666666</v>
      </c>
      <c r="G9" s="12" t="n">
        <f>D9/$B$13</f>
        <v>0.0131578947368421</v>
      </c>
      <c r="H9" s="15" t="s">
        <v>230</v>
      </c>
      <c r="I9" s="13" t="n">
        <f>A9/5000</f>
        <v>100</v>
      </c>
    </row>
    <row r="10" ht="16.5" customHeight="1">
      <c r="A10" s="6" t="n">
        <v>2000000</v>
      </c>
      <c r="B10" s="19" t="n">
        <v>0.4</v>
      </c>
      <c r="C10" s="7" t="n">
        <f>A10*B10/0.6</f>
        <v>1333333.33333333</v>
      </c>
      <c r="D10" s="36" t="n">
        <v>2</v>
      </c>
      <c r="E10" s="6" t="n">
        <f>A10*D10</f>
        <v>4000000</v>
      </c>
      <c r="F10" s="11" t="n">
        <f>C10*D10</f>
        <v>2666666.66666666</v>
      </c>
      <c r="G10" s="12" t="n">
        <f>D10/$B$13</f>
        <v>0.00328947368421053</v>
      </c>
      <c r="H10" s="15" t="s">
        <v>231</v>
      </c>
      <c r="I10" s="13" t="n">
        <f>A10/5000</f>
        <v>400</v>
      </c>
      <c r="J10" s="4" t="s">
        <v>232</v>
      </c>
    </row>
    <row r="11" ht="16.5" customHeight="1">
      <c r="A11" s="6" t="n">
        <v>4888000</v>
      </c>
      <c r="B11" s="19" t="n">
        <v>0.4</v>
      </c>
      <c r="C11" s="7" t="n">
        <f>A11*B11/0.6</f>
        <v>3258666.66666667</v>
      </c>
      <c r="D11" s="36" t="n">
        <v>1</v>
      </c>
      <c r="E11" s="6" t="n">
        <f>A11*D11</f>
        <v>4888000</v>
      </c>
      <c r="F11" s="11" t="n">
        <f>C11*D11</f>
        <v>3258666.66666667</v>
      </c>
      <c r="G11" s="12" t="n">
        <f>D11/$B$13</f>
        <v>0.00164473684210526</v>
      </c>
      <c r="H11" s="15" t="s">
        <v>233</v>
      </c>
      <c r="I11" s="13" t="n">
        <f>A11/5000</f>
        <v>977.6</v>
      </c>
      <c r="J11" s="4" t="s">
        <v>232</v>
      </c>
    </row>
    <row r="12" ht="16.5" customHeight="1">
      <c r="A12" s="17"/>
      <c r="B12" s="17"/>
      <c r="C12" s="17"/>
      <c r="D12" s="17"/>
      <c r="E12" s="17"/>
      <c r="F12" s="17"/>
      <c r="G12" s="17"/>
      <c r="H12" s="17"/>
    </row>
    <row r="13" ht="16.5" customHeight="1">
      <c r="A13" s="22" t="s">
        <v>21</v>
      </c>
      <c r="B13" s="23" t="n">
        <f>SUM(D4:D11)</f>
        <v>608</v>
      </c>
      <c r="C13" s="24" t="s">
        <v>22</v>
      </c>
      <c r="D13" s="10"/>
      <c r="E13" s="31" t="n">
        <f>SUM(E4:E11)</f>
        <v>42738000</v>
      </c>
      <c r="F13" s="39" t="s">
        <v>23</v>
      </c>
      <c r="G13" s="40"/>
      <c r="H13" s="41" t="n">
        <f>E13/E15</f>
        <v>1.40585526315789</v>
      </c>
    </row>
    <row r="14" ht="16.5" customHeight="1">
      <c r="A14" s="22" t="s">
        <v>24</v>
      </c>
      <c r="B14" s="22" t="n">
        <v>50000</v>
      </c>
      <c r="C14" s="24" t="s">
        <v>25</v>
      </c>
      <c r="D14" s="10"/>
      <c r="E14" s="31" t="n">
        <f>SUM(F4:F11)</f>
        <v>28492000</v>
      </c>
      <c r="F14" s="39" t="s">
        <v>26</v>
      </c>
      <c r="G14" s="40"/>
      <c r="H14" s="41" t="n">
        <f>E14/E15</f>
        <v>0.937236842105263</v>
      </c>
    </row>
    <row r="15" ht="16.5" customHeight="1">
      <c r="A15" s="15"/>
      <c r="B15" s="15"/>
      <c r="C15" s="24" t="s">
        <v>27</v>
      </c>
      <c r="D15" s="10"/>
      <c r="E15" s="8" t="n">
        <f>B13*B14</f>
        <v>30400000</v>
      </c>
      <c r="F15" s="39" t="s">
        <v>28</v>
      </c>
      <c r="G15" s="40"/>
      <c r="H15" s="41" t="n">
        <f>E15/E14</f>
        <v>1.06696616594132</v>
      </c>
    </row>
    <row r="16" ht="16.5" customHeight="1">
      <c r="A16" s="9" t="s">
        <v>51</v>
      </c>
      <c r="B16" s="34" t="s">
        <v>234</v>
      </c>
      <c r="C16" s="9"/>
      <c r="D16" s="9"/>
      <c r="E16" s="9"/>
      <c r="F16" s="9"/>
      <c r="G16" s="9"/>
      <c r="H16" s="5" t="n">
        <f>100*B14*(1.45-H13)</f>
        <v>220723.68421055</v>
      </c>
    </row>
    <row r="17" ht="16.5" customHeight="1">
      <c r="A17" s="9" t="s">
        <v>64</v>
      </c>
      <c r="B17" s="34" t="s">
        <v>235</v>
      </c>
      <c r="C17" s="9"/>
      <c r="D17" s="9"/>
      <c r="E17" s="9"/>
      <c r="F17" s="9"/>
      <c r="G17" s="9"/>
      <c r="H17" s="9"/>
    </row>
    <row r="18" ht="16.5" customHeight="1">
      <c r="A18" s="9" t="s">
        <v>74</v>
      </c>
      <c r="B18" s="34" t="s">
        <v>236</v>
      </c>
      <c r="C18" s="9"/>
      <c r="D18" s="9"/>
      <c r="E18" s="9"/>
      <c r="F18" s="9"/>
      <c r="G18" s="9"/>
      <c r="H18" s="9"/>
    </row>
    <row r="19" ht="16.5" customHeight="1">
      <c r="A19" s="9" t="s">
        <v>77</v>
      </c>
      <c r="B19" s="34" t="s">
        <v>236</v>
      </c>
      <c r="C19" s="9"/>
      <c r="D19" s="9"/>
      <c r="E19" s="9"/>
      <c r="F19" s="9"/>
      <c r="G19" s="9"/>
      <c r="H19" s="9"/>
    </row>
    <row r="20" ht="16.5" customHeight="1">
      <c r="A20" s="9" t="s">
        <v>237</v>
      </c>
      <c r="B20" s="34" t="s">
        <v>236</v>
      </c>
      <c r="C20" s="9"/>
    </row>
  </sheetData>
  <mergeCells count="8">
    <mergeCell ref="F13:G13"/>
    <mergeCell ref="F14:G14"/>
    <mergeCell ref="A1:H1"/>
    <mergeCell ref="A2:H2"/>
    <mergeCell ref="C13:D13"/>
    <mergeCell ref="C14:D14"/>
    <mergeCell ref="C15:D15"/>
    <mergeCell ref="F15:G15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30" t="s">
        <v>238</v>
      </c>
      <c r="B1" s="27"/>
      <c r="C1" s="27"/>
      <c r="D1" s="27"/>
      <c r="E1" s="27"/>
      <c r="F1" s="27"/>
      <c r="G1" s="27"/>
      <c r="H1" s="28"/>
    </row>
    <row r="2" ht="16.5" customHeight="1">
      <c r="A2" s="15" t="s">
        <v>224</v>
      </c>
      <c r="B2" s="10"/>
      <c r="C2" s="10"/>
      <c r="D2" s="10"/>
      <c r="E2" s="10"/>
      <c r="F2" s="10"/>
      <c r="G2" s="10"/>
      <c r="H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4" t="s">
        <v>12</v>
      </c>
      <c r="J3" s="4" t="s">
        <v>11</v>
      </c>
    </row>
    <row r="4" ht="16.5" customHeight="1">
      <c r="A4" s="6" t="n">
        <v>20000</v>
      </c>
      <c r="B4" s="19" t="n">
        <v>0.4</v>
      </c>
      <c r="C4" s="7" t="n">
        <f>A4*B4/0.6</f>
        <v>13333.3333333333</v>
      </c>
      <c r="D4" s="26" t="n">
        <v>360</v>
      </c>
      <c r="E4" s="6" t="n">
        <f>A4*D4</f>
        <v>7200000</v>
      </c>
      <c r="F4" s="11" t="n">
        <f>C4*D4</f>
        <v>4799999.99999999</v>
      </c>
      <c r="G4" s="12" t="n">
        <f>D4/$B$13</f>
        <v>0.403587443946188</v>
      </c>
      <c r="H4" s="15" t="s">
        <v>239</v>
      </c>
      <c r="I4" s="13" t="n">
        <f>A4/5000</f>
        <v>4</v>
      </c>
    </row>
    <row r="5" ht="16.5" customHeight="1">
      <c r="A5" s="6" t="n">
        <v>50000</v>
      </c>
      <c r="B5" s="19" t="n">
        <v>0.4</v>
      </c>
      <c r="C5" s="7" t="n">
        <f>A5*B5/0.6</f>
        <v>33333.3333333333</v>
      </c>
      <c r="D5" s="26" t="n">
        <v>300</v>
      </c>
      <c r="E5" s="6" t="n">
        <f>A5*D5</f>
        <v>15000000</v>
      </c>
      <c r="F5" s="11" t="n">
        <f>C5*D5</f>
        <v>9999999.99999999</v>
      </c>
      <c r="G5" s="12" t="n">
        <f>D5/$B$13</f>
        <v>0.336322869955157</v>
      </c>
      <c r="H5" s="21" t="s">
        <v>240</v>
      </c>
      <c r="I5" s="13" t="n">
        <f>A5/5000</f>
        <v>10</v>
      </c>
    </row>
    <row r="6" ht="16.5" customHeight="1">
      <c r="A6" s="6" t="n">
        <v>100000</v>
      </c>
      <c r="B6" s="19" t="n">
        <v>0.4</v>
      </c>
      <c r="C6" s="7" t="n">
        <f>A6*B6/0.6</f>
        <v>66666.6666666667</v>
      </c>
      <c r="D6" s="26" t="n">
        <v>200</v>
      </c>
      <c r="E6" s="6" t="n">
        <f>A6*D6</f>
        <v>20000000</v>
      </c>
      <c r="F6" s="11" t="n">
        <f>C6*D6</f>
        <v>13333333.3333333</v>
      </c>
      <c r="G6" s="12" t="n">
        <f>D6/$B$13</f>
        <v>0.224215246636771</v>
      </c>
      <c r="H6" s="21" t="s">
        <v>241</v>
      </c>
      <c r="I6" s="13" t="n">
        <f>A6/5000</f>
        <v>20</v>
      </c>
    </row>
    <row r="7" ht="16.5" customHeight="1">
      <c r="A7" s="6" t="n">
        <v>300000</v>
      </c>
      <c r="B7" s="19" t="n">
        <v>0.4</v>
      </c>
      <c r="C7" s="7" t="n">
        <f>A7*B7/0.6</f>
        <v>200000</v>
      </c>
      <c r="D7" s="36" t="n">
        <v>20</v>
      </c>
      <c r="E7" s="6" t="n">
        <f>A7*D7</f>
        <v>6000000</v>
      </c>
      <c r="F7" s="11" t="n">
        <f>C7*D7</f>
        <v>4000000</v>
      </c>
      <c r="G7" s="12" t="n">
        <f>D7/$B$13</f>
        <v>0.0224215246636771</v>
      </c>
      <c r="H7" s="15" t="s">
        <v>242</v>
      </c>
      <c r="I7" s="13" t="n">
        <f>A7/5000</f>
        <v>60</v>
      </c>
    </row>
    <row r="8" ht="16.5" customHeight="1">
      <c r="A8" s="6" t="n">
        <v>500000</v>
      </c>
      <c r="B8" s="19" t="n">
        <v>0.4</v>
      </c>
      <c r="C8" s="7" t="n">
        <f>A8*B8/0.6</f>
        <v>333333.333333333</v>
      </c>
      <c r="D8" s="36" t="n">
        <v>10</v>
      </c>
      <c r="E8" s="6" t="n">
        <f>A8*D8</f>
        <v>5000000</v>
      </c>
      <c r="F8" s="11" t="n">
        <f>C8*D8</f>
        <v>3333333.33333333</v>
      </c>
      <c r="G8" s="12" t="n">
        <f>D8/$B$13</f>
        <v>0.0112107623318386</v>
      </c>
      <c r="H8" s="15" t="s">
        <v>243</v>
      </c>
      <c r="I8" s="13" t="n">
        <f>A8/5000</f>
        <v>100</v>
      </c>
    </row>
    <row r="9" ht="16.5" customHeight="1">
      <c r="A9" s="6" t="n">
        <v>5000000</v>
      </c>
      <c r="B9" s="19" t="n">
        <v>0.4</v>
      </c>
      <c r="C9" s="7" t="n">
        <f>A9*B9/0.6</f>
        <v>3333333.33333333</v>
      </c>
      <c r="D9" s="36" t="n">
        <v>1</v>
      </c>
      <c r="E9" s="6" t="n">
        <f>A9*D9</f>
        <v>5000000</v>
      </c>
      <c r="F9" s="11" t="n">
        <f>C9*D9</f>
        <v>3333333.33333333</v>
      </c>
      <c r="G9" s="12" t="n">
        <f>D9/$B$13</f>
        <v>0.00112107623318386</v>
      </c>
      <c r="H9" s="15" t="s">
        <v>46</v>
      </c>
      <c r="I9" s="13" t="n">
        <f>A9/5000</f>
        <v>1000</v>
      </c>
    </row>
    <row r="10" ht="16.5" customHeight="1">
      <c r="A10" s="6" t="n">
        <v>6000000</v>
      </c>
      <c r="B10" s="19" t="n">
        <v>0.4</v>
      </c>
      <c r="C10" s="7" t="n">
        <f>A10*B10/0.6</f>
        <v>4000000</v>
      </c>
      <c r="D10" s="36" t="n">
        <v>1</v>
      </c>
      <c r="E10" s="6" t="n">
        <f>A10*D10</f>
        <v>6000000</v>
      </c>
      <c r="F10" s="11" t="n">
        <f>C10*D10</f>
        <v>4000000</v>
      </c>
      <c r="G10" s="12" t="n">
        <f>D10/$B$13</f>
        <v>0.00112107623318386</v>
      </c>
      <c r="H10" s="15" t="s">
        <v>244</v>
      </c>
      <c r="I10" s="13" t="n">
        <f>A10/5000</f>
        <v>1200</v>
      </c>
      <c r="J10" s="4" t="s">
        <v>232</v>
      </c>
    </row>
    <row r="11" ht="16.5" customHeight="1">
      <c r="A11" s="6"/>
      <c r="B11" s="19"/>
      <c r="C11" s="7"/>
      <c r="D11" s="36"/>
      <c r="E11" s="6"/>
      <c r="F11" s="11"/>
      <c r="G11" s="12"/>
      <c r="H11" s="15"/>
      <c r="I11" s="13" t="n">
        <f>A11/5000</f>
        <v>0</v>
      </c>
      <c r="J11" s="4" t="s">
        <v>232</v>
      </c>
    </row>
    <row r="12" ht="16.5" customHeight="1">
      <c r="A12" s="17"/>
      <c r="B12" s="17"/>
      <c r="C12" s="17"/>
      <c r="D12" s="17"/>
      <c r="E12" s="17"/>
      <c r="F12" s="17"/>
      <c r="G12" s="17"/>
      <c r="H12" s="17"/>
    </row>
    <row r="13" ht="16.5" customHeight="1">
      <c r="A13" s="22" t="s">
        <v>21</v>
      </c>
      <c r="B13" s="23" t="n">
        <f>SUM(D4:D11)</f>
        <v>892</v>
      </c>
      <c r="C13" s="24" t="s">
        <v>22</v>
      </c>
      <c r="D13" s="10"/>
      <c r="E13" s="31" t="n">
        <f>SUM(E4:E11)</f>
        <v>64200000</v>
      </c>
      <c r="F13" s="39" t="s">
        <v>23</v>
      </c>
      <c r="G13" s="40"/>
      <c r="H13" s="41" t="n">
        <f>E13/E15</f>
        <v>1.43946188340807</v>
      </c>
    </row>
    <row r="14" ht="16.5" customHeight="1">
      <c r="A14" s="22" t="s">
        <v>24</v>
      </c>
      <c r="B14" s="22" t="n">
        <v>50000</v>
      </c>
      <c r="C14" s="24" t="s">
        <v>25</v>
      </c>
      <c r="D14" s="10"/>
      <c r="E14" s="31" t="n">
        <f>SUM(F4:F11)</f>
        <v>42799999.9999999</v>
      </c>
      <c r="F14" s="39" t="s">
        <v>26</v>
      </c>
      <c r="G14" s="40"/>
      <c r="H14" s="41" t="n">
        <f>E14/E15</f>
        <v>0.959641255605379</v>
      </c>
    </row>
    <row r="15" ht="16.5" customHeight="1">
      <c r="A15" s="15"/>
      <c r="B15" s="15"/>
      <c r="C15" s="24" t="s">
        <v>27</v>
      </c>
      <c r="D15" s="10"/>
      <c r="E15" s="8" t="n">
        <f>B13*B14</f>
        <v>44600000</v>
      </c>
      <c r="F15" s="39" t="s">
        <v>28</v>
      </c>
      <c r="G15" s="40"/>
      <c r="H15" s="41" t="n">
        <f>E15/E14</f>
        <v>1.04205607476636</v>
      </c>
    </row>
    <row r="16" ht="16.5" customHeight="1">
      <c r="A16" s="9" t="s">
        <v>51</v>
      </c>
      <c r="B16" s="34" t="s">
        <v>234</v>
      </c>
      <c r="C16" s="9"/>
      <c r="D16" s="9"/>
      <c r="E16" s="9"/>
      <c r="F16" s="9"/>
      <c r="G16" s="9"/>
      <c r="H16" s="5" t="n">
        <f>100*B14*(1.45-H13)</f>
        <v>52690.58295965</v>
      </c>
    </row>
    <row r="17" ht="16.5" customHeight="1">
      <c r="A17" s="9" t="s">
        <v>64</v>
      </c>
      <c r="B17" s="34" t="s">
        <v>235</v>
      </c>
      <c r="C17" s="9"/>
      <c r="D17" s="9"/>
      <c r="E17" s="9"/>
      <c r="F17" s="9"/>
      <c r="G17" s="9"/>
      <c r="H17" s="9"/>
    </row>
    <row r="18" ht="16.5" customHeight="1">
      <c r="A18" s="9" t="s">
        <v>74</v>
      </c>
      <c r="B18" s="34" t="s">
        <v>236</v>
      </c>
      <c r="C18" s="9"/>
      <c r="D18" s="9"/>
      <c r="E18" s="9"/>
      <c r="F18" s="9"/>
      <c r="G18" s="9"/>
      <c r="H18" s="9"/>
    </row>
    <row r="19" ht="16.5" customHeight="1">
      <c r="A19" s="9" t="s">
        <v>77</v>
      </c>
      <c r="B19" s="34" t="s">
        <v>236</v>
      </c>
      <c r="C19" s="9"/>
      <c r="D19" s="9"/>
      <c r="E19" s="9"/>
      <c r="F19" s="9"/>
      <c r="G19" s="9"/>
      <c r="H19" s="9"/>
    </row>
    <row r="20" ht="16.5" customHeight="1">
      <c r="A20" s="9" t="s">
        <v>237</v>
      </c>
      <c r="B20" s="34" t="s">
        <v>236</v>
      </c>
      <c r="C20" s="9"/>
    </row>
  </sheetData>
  <mergeCells count="8">
    <mergeCell ref="F13:G13"/>
    <mergeCell ref="F14:G14"/>
    <mergeCell ref="A1:H1"/>
    <mergeCell ref="A2:H2"/>
    <mergeCell ref="C13:D13"/>
    <mergeCell ref="C14:D14"/>
    <mergeCell ref="C15:D15"/>
    <mergeCell ref="F15:G15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30" t="s">
        <v>245</v>
      </c>
      <c r="B1" s="27"/>
      <c r="C1" s="27"/>
      <c r="D1" s="27"/>
      <c r="E1" s="27"/>
      <c r="F1" s="27"/>
      <c r="G1" s="27"/>
      <c r="H1" s="28"/>
    </row>
    <row r="2" ht="16.5" customHeight="1">
      <c r="A2" s="15" t="s">
        <v>224</v>
      </c>
      <c r="B2" s="10"/>
      <c r="C2" s="10"/>
      <c r="D2" s="10"/>
      <c r="E2" s="10"/>
      <c r="F2" s="10"/>
      <c r="G2" s="10"/>
      <c r="H2" s="10"/>
    </row>
    <row r="3" ht="16.5" customHeight="1">
      <c r="A3" s="17" t="s">
        <v>2</v>
      </c>
      <c r="B3" s="15" t="s">
        <v>3</v>
      </c>
      <c r="C3" s="18" t="s">
        <v>4</v>
      </c>
      <c r="D3" s="20" t="s">
        <v>5</v>
      </c>
      <c r="E3" s="17" t="s">
        <v>6</v>
      </c>
      <c r="F3" s="15" t="s">
        <v>7</v>
      </c>
      <c r="G3" s="15" t="s">
        <v>8</v>
      </c>
      <c r="H3" s="17" t="s">
        <v>9</v>
      </c>
      <c r="I3" s="4" t="s">
        <v>12</v>
      </c>
      <c r="J3" s="4" t="s">
        <v>11</v>
      </c>
    </row>
    <row r="4" ht="16.5" customHeight="1">
      <c r="A4" s="6" t="n">
        <v>5000</v>
      </c>
      <c r="B4" s="19" t="n">
        <v>0.4</v>
      </c>
      <c r="C4" s="7" t="n">
        <f>A4*B4/0.6</f>
        <v>3333.33333333333</v>
      </c>
      <c r="D4" s="26" t="n">
        <v>300</v>
      </c>
      <c r="E4" s="6" t="n">
        <f>A4*D4</f>
        <v>1500000</v>
      </c>
      <c r="F4" s="11" t="n">
        <f>C4*D4</f>
        <v>999999.999999999</v>
      </c>
      <c r="G4" s="12" t="n">
        <f>D4/$B$13</f>
        <v>0.360576923076923</v>
      </c>
      <c r="H4" s="15" t="s">
        <v>15</v>
      </c>
      <c r="I4" s="13" t="n">
        <v>1</v>
      </c>
    </row>
    <row r="5" ht="16.5" customHeight="1">
      <c r="A5" s="6" t="n">
        <v>20000</v>
      </c>
      <c r="B5" s="19" t="n">
        <v>0.4</v>
      </c>
      <c r="C5" s="7" t="n">
        <f>A5*B5/0.6</f>
        <v>13333.3333333333</v>
      </c>
      <c r="D5" s="36" t="n">
        <v>300</v>
      </c>
      <c r="E5" s="6" t="n">
        <f>A5*D5</f>
        <v>6000000</v>
      </c>
      <c r="F5" s="11" t="n">
        <f>C5*D5</f>
        <v>3999999.99999999</v>
      </c>
      <c r="G5" s="12" t="n">
        <f>D5/$B$13</f>
        <v>0.360576923076923</v>
      </c>
      <c r="H5" s="21" t="s">
        <v>246</v>
      </c>
      <c r="I5" s="13" t="n">
        <f>A5/5000</f>
        <v>4</v>
      </c>
    </row>
    <row r="6" ht="16.5" customHeight="1">
      <c r="A6" s="6" t="n">
        <v>50000</v>
      </c>
      <c r="B6" s="19" t="n">
        <v>0.4</v>
      </c>
      <c r="C6" s="7" t="n">
        <f>A6*B6/0.6</f>
        <v>33333.3333333333</v>
      </c>
      <c r="D6" s="36" t="n">
        <v>200</v>
      </c>
      <c r="E6" s="6" t="n">
        <f>A6*D6</f>
        <v>10000000</v>
      </c>
      <c r="F6" s="11" t="n">
        <f>C6*D6</f>
        <v>6666666.66666666</v>
      </c>
      <c r="G6" s="12" t="n">
        <f>D6/$B$13</f>
        <v>0.240384615384615</v>
      </c>
      <c r="H6" s="21" t="s">
        <v>247</v>
      </c>
      <c r="I6" s="13" t="n">
        <f>A6/5000</f>
        <v>10</v>
      </c>
    </row>
    <row r="7" ht="16.5" customHeight="1">
      <c r="A7" s="6" t="n">
        <v>100000</v>
      </c>
      <c r="B7" s="19" t="n">
        <v>0.4</v>
      </c>
      <c r="C7" s="7" t="n">
        <f>A7*B7/0.6</f>
        <v>66666.6666666667</v>
      </c>
      <c r="D7" s="36" t="n">
        <v>20</v>
      </c>
      <c r="E7" s="6" t="n">
        <f>A7*D7</f>
        <v>2000000</v>
      </c>
      <c r="F7" s="11" t="n">
        <f>C7*D7</f>
        <v>1333333.33333333</v>
      </c>
      <c r="G7" s="12" t="n">
        <f>D7/$B$13</f>
        <v>0.0240384615384615</v>
      </c>
      <c r="H7" s="15" t="s">
        <v>248</v>
      </c>
      <c r="I7" s="13" t="n">
        <f>A7/5000</f>
        <v>20</v>
      </c>
    </row>
    <row r="8" ht="16.5" customHeight="1">
      <c r="A8" s="6" t="n">
        <v>200000</v>
      </c>
      <c r="B8" s="19" t="n">
        <v>0.4</v>
      </c>
      <c r="C8" s="7" t="n">
        <f>A8*B8/0.6</f>
        <v>133333.333333333</v>
      </c>
      <c r="D8" s="36" t="n">
        <v>10</v>
      </c>
      <c r="E8" s="6" t="n">
        <f>A8*D8</f>
        <v>2000000</v>
      </c>
      <c r="F8" s="11" t="n">
        <f>C8*D8</f>
        <v>1333333.33333333</v>
      </c>
      <c r="G8" s="12" t="n">
        <f>D8/$B$13</f>
        <v>0.0120192307692308</v>
      </c>
      <c r="H8" s="15" t="s">
        <v>249</v>
      </c>
      <c r="I8" s="13" t="n">
        <f>A8/5000</f>
        <v>40</v>
      </c>
    </row>
    <row r="9" ht="16.5" customHeight="1">
      <c r="A9" s="6" t="n">
        <v>1000000</v>
      </c>
      <c r="B9" s="19" t="n">
        <v>0.4</v>
      </c>
      <c r="C9" s="7" t="n">
        <f>A9*B9/0.6</f>
        <v>666666.666666667</v>
      </c>
      <c r="D9" s="36" t="n">
        <v>1</v>
      </c>
      <c r="E9" s="6" t="n">
        <f>A9*D9</f>
        <v>1000000</v>
      </c>
      <c r="F9" s="11" t="n">
        <f>C9*D9</f>
        <v>666666.666666667</v>
      </c>
      <c r="G9" s="12" t="n">
        <f>D9/$B$13</f>
        <v>0.00120192307692308</v>
      </c>
      <c r="H9" s="15" t="s">
        <v>42</v>
      </c>
      <c r="I9" s="13" t="n">
        <f>A9/5000</f>
        <v>200</v>
      </c>
      <c r="J9" s="4" t="s">
        <v>232</v>
      </c>
    </row>
    <row r="10" ht="16.5" customHeight="1">
      <c r="A10" s="6" t="n">
        <v>1234000</v>
      </c>
      <c r="B10" s="19" t="n">
        <v>0.4</v>
      </c>
      <c r="C10" s="7" t="n">
        <f>A10*B10/0.6</f>
        <v>822666.666666667</v>
      </c>
      <c r="D10" s="36" t="n">
        <v>1</v>
      </c>
      <c r="E10" s="6" t="n">
        <f>A10*D10</f>
        <v>1234000</v>
      </c>
      <c r="F10" s="11" t="n">
        <f>C10*D10</f>
        <v>822666.666666667</v>
      </c>
      <c r="G10" s="12" t="n">
        <f>D10/$B$13</f>
        <v>0.00120192307692308</v>
      </c>
      <c r="H10" s="15" t="s">
        <v>60</v>
      </c>
      <c r="I10" s="13" t="n">
        <f>A10/5000</f>
        <v>246.8</v>
      </c>
      <c r="J10" s="4" t="s">
        <v>232</v>
      </c>
    </row>
    <row r="11" ht="16.5" customHeight="1">
      <c r="A11" s="6"/>
      <c r="B11" s="19"/>
      <c r="C11" s="7"/>
      <c r="D11" s="36"/>
      <c r="E11" s="6"/>
      <c r="F11" s="11"/>
      <c r="G11" s="12"/>
      <c r="H11" s="15"/>
      <c r="I11" s="13" t="n">
        <f>A11/5000</f>
        <v>0</v>
      </c>
    </row>
    <row r="12" ht="16.5" customHeight="1">
      <c r="A12" s="17"/>
      <c r="B12" s="17"/>
      <c r="C12" s="17"/>
      <c r="D12" s="17"/>
      <c r="E12" s="17"/>
      <c r="F12" s="17"/>
      <c r="G12" s="17"/>
      <c r="H12" s="17"/>
    </row>
    <row r="13" ht="16.5" customHeight="1">
      <c r="A13" s="22" t="s">
        <v>21</v>
      </c>
      <c r="B13" s="23" t="n">
        <f>SUM(D4:D11)</f>
        <v>832</v>
      </c>
      <c r="C13" s="24" t="s">
        <v>22</v>
      </c>
      <c r="D13" s="10"/>
      <c r="E13" s="31" t="n">
        <f>SUM(E4:E11)</f>
        <v>23734000</v>
      </c>
      <c r="F13" s="39" t="s">
        <v>23</v>
      </c>
      <c r="G13" s="40"/>
      <c r="H13" s="41" t="n">
        <f>E13/E15</f>
        <v>1.42632211538462</v>
      </c>
    </row>
    <row r="14" ht="16.5" customHeight="1">
      <c r="A14" s="22" t="s">
        <v>24</v>
      </c>
      <c r="B14" s="22" t="n">
        <v>20000</v>
      </c>
      <c r="C14" s="24" t="s">
        <v>25</v>
      </c>
      <c r="D14" s="10"/>
      <c r="E14" s="31" t="n">
        <f>SUM(F4:F11)</f>
        <v>15822666.6666666</v>
      </c>
      <c r="F14" s="39" t="s">
        <v>26</v>
      </c>
      <c r="G14" s="40"/>
      <c r="H14" s="41" t="n">
        <f>E14/E15</f>
        <v>0.950881410256406</v>
      </c>
    </row>
    <row r="15" ht="16.5" customHeight="1">
      <c r="A15" s="15"/>
      <c r="B15" s="15"/>
      <c r="C15" s="24" t="s">
        <v>27</v>
      </c>
      <c r="D15" s="10"/>
      <c r="E15" s="8" t="n">
        <f>B13*B14</f>
        <v>16640000</v>
      </c>
      <c r="F15" s="39" t="s">
        <v>28</v>
      </c>
      <c r="G15" s="40"/>
      <c r="H15" s="41" t="n">
        <f>E15/E14</f>
        <v>1.0516558523637</v>
      </c>
    </row>
    <row r="16" ht="16.5" customHeight="1">
      <c r="A16" s="9" t="s">
        <v>51</v>
      </c>
      <c r="B16" s="34" t="s">
        <v>91</v>
      </c>
      <c r="C16" s="9"/>
      <c r="D16" s="9"/>
      <c r="E16" s="9"/>
      <c r="F16" s="9"/>
      <c r="G16" s="9"/>
      <c r="H16" s="5" t="n">
        <f>100*B14*(1.45-H13)</f>
        <v>47355.76923076</v>
      </c>
    </row>
    <row r="17" ht="16.5" customHeight="1">
      <c r="A17" s="9" t="s">
        <v>64</v>
      </c>
      <c r="B17" s="34" t="s">
        <v>91</v>
      </c>
      <c r="C17" s="9"/>
      <c r="D17" s="9"/>
      <c r="E17" s="9"/>
      <c r="F17" s="9"/>
      <c r="G17" s="9"/>
      <c r="H17" s="9"/>
    </row>
    <row r="18" ht="16.5" customHeight="1">
      <c r="A18" s="9" t="s">
        <v>74</v>
      </c>
      <c r="B18" s="34" t="s">
        <v>91</v>
      </c>
      <c r="C18" s="9"/>
      <c r="D18" s="9"/>
      <c r="E18" s="9"/>
      <c r="F18" s="9"/>
      <c r="G18" s="9"/>
      <c r="H18" s="9"/>
    </row>
    <row r="19" ht="16.5" customHeight="1">
      <c r="A19" s="9" t="s">
        <v>77</v>
      </c>
      <c r="B19" s="34" t="s">
        <v>91</v>
      </c>
      <c r="C19" s="9"/>
      <c r="D19" s="9"/>
      <c r="E19" s="9"/>
      <c r="F19" s="9"/>
      <c r="G19" s="9"/>
      <c r="H19" s="9"/>
    </row>
    <row r="20" ht="16.5" customHeight="1">
      <c r="A20" s="9" t="s">
        <v>237</v>
      </c>
      <c r="B20" s="34" t="s">
        <v>91</v>
      </c>
      <c r="C20" s="9"/>
    </row>
  </sheetData>
  <mergeCells count="8">
    <mergeCell ref="F13:G13"/>
    <mergeCell ref="F14:G14"/>
    <mergeCell ref="A1:H1"/>
    <mergeCell ref="A2:H2"/>
    <mergeCell ref="C13:D13"/>
    <mergeCell ref="C14:D14"/>
    <mergeCell ref="C15:D15"/>
    <mergeCell ref="F15:G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2025-03-07T17:36:44Z</dcterms:modified>
</cp:coreProperties>
</file>