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<sst xmlns="http://schemas.openxmlformats.org/spreadsheetml/2006/main">
  <si>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飞碟（100可豆）</t>
  </si>
  <si>
    <t>1连/66连</t>
  </si>
  <si>
    <t>中奖额度</t>
  </si>
  <si>
    <t>礼物主播兑换比例</t>
  </si>
  <si>
    <t>价值修正</t>
  </si>
  <si>
    <t>次数</t>
  </si>
  <si>
    <t>表显总额</t>
  </si>
  <si>
    <t>修正总额</t>
  </si>
  <si>
    <t>中奖概率</t>
  </si>
  <si>
    <t>奖励礼物</t>
  </si>
  <si>
    <t>总次数</t>
  </si>
  <si>
    <t>表显总产出</t>
  </si>
  <si>
    <t>表显反奖比</t>
  </si>
  <si>
    <t>门票单价</t>
  </si>
  <si>
    <t>修正总产出</t>
  </si>
  <si>
    <t>修正反奖比</t>
  </si>
  <si>
    <t>门票累计</t>
  </si>
  <si>
    <t>折扣</t>
  </si>
  <si>
    <t>飘红规则：≥10000飘红</t>
  </si>
  <si>
    <t>飞碟（18800可豆）</t>
  </si>
  <si>
    <t>188连</t>
  </si>
  <si>
    <t>52连</t>
  </si>
  <si>
    <t>飘红规则：≥20000飘红</t>
  </si>
  <si>
    <t>飞碟（52000可豆）</t>
  </si>
  <si>
    <t>520连</t>
  </si>
  <si>
    <t>飞碟（131400可豆）</t>
  </si>
  <si>
    <t>1314连</t>
  </si>
  <si>
    <t>飘红规则：≥100000飘红</t>
  </si>
  <si>
    <t>飞碟（999900可豆）</t>
  </si>
  <si>
    <t>9999连</t>
  </si>
  <si>
    <t>飘红规则：≥500000飘红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</si>
</sst>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Microsoft YaHei"/>
    </font>
    <font>
      <sz val="10"/>
      <name val="等线"/>
    </font>
    <font>
      <sz val="10"/>
    </font>
  </fonts>
  <fills count="7">
    <fill>
      <patternFill patternType="none"/>
    </fill>
    <fill>
      <patternFill patternType="gray125"/>
    </fill>
    <fill>
      <patternFill patternType="solid">
        <fgColor rgb="FFCFC7F4"/>
      </patternFill>
    </fill>
    <fill>
      <patternFill patternType="solid">
        <fgColor rgb="FFDFF8FF"/>
      </patternFill>
    </fill>
    <fill>
      <patternFill patternType="solid">
        <fgColor rgb="FF8CDDFA"/>
      </patternFill>
    </fill>
    <fill>
      <patternFill patternType="solid">
        <fgColor rgb="FFFFF2CC"/>
      </patternFill>
    </fill>
    <fill>
      <patternFill patternType="solid">
        <fgColor rgb="FFFEE598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3" fontId="4" fillId="0" borderId="1" xfId="0" applyNumberFormat="1" applyFont="1" applyBorder="1" applyProtection="1">
      <alignment horizontal="center" vertical="center"/>
    </xf>
    <xf numFmtId="3" fontId="4" fillId="2" borderId="1" xfId="0" applyNumberFormat="1" applyFont="1" applyFill="1" applyBorder="1" applyProtection="1">
      <alignment horizontal="center" vertical="center"/>
    </xf>
    <xf numFmtId="3" fontId="5" fillId="3" borderId="1" xfId="0" applyNumberFormat="1" applyFont="1" applyFill="1" applyBorder="1" applyProtection="1">
      <alignment horizontal="center" vertical="center"/>
    </xf>
    <xf numFmtId="0" fontId="6" fillId="0" borderId="0" xfId="0" applyFont="1">
      <alignment horizontal="center" vertical="center"/>
    </xf>
    <xf numFmtId="0" fontId="6" fillId="0" borderId="1" xfId="0" applyFont="1" applyBorder="1" applyProtection="1">
      <alignment horizontal="center" vertical="center"/>
    </xf>
    <xf numFmtId="3" fontId="6" fillId="0" borderId="1" xfId="0" applyNumberFormat="1" applyFont="1" applyBorder="1" applyProtection="1">
      <alignment horizontal="center" vertical="center"/>
    </xf>
    <xf numFmtId="10" fontId="6" fillId="0" borderId="1" xfId="0" applyNumberFormat="1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4" fillId="2" borderId="1" xfId="0" applyFont="1" applyFill="1" applyBorder="1" applyProtection="1">
      <alignment horizontal="center" vertical="center"/>
    </xf>
    <xf numFmtId="9" fontId="4" fillId="0" borderId="1" xfId="0" applyNumberFormat="1" applyFont="1" applyBorder="1" applyProtection="1">
      <alignment horizontal="center" vertical="center"/>
    </xf>
    <xf numFmtId="0" fontId="4" fillId="4" borderId="1" xfId="0" applyFont="1" applyFill="1" applyBorder="1" applyProtection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5" fillId="5" borderId="1" xfId="0" applyFont="1" applyFill="1" applyBorder="1" applyProtection="1">
      <alignment horizontal="center" vertical="center"/>
    </xf>
    <xf numFmtId="0" fontId="4" fillId="5" borderId="1" xfId="0" applyFont="1" applyFill="1" applyBorder="1" applyProtection="1">
      <alignment horizontal="center" vertical="center"/>
    </xf>
    <xf numFmtId="0" fontId="5" fillId="3" borderId="1" xfId="0" applyFont="1" applyFill="1" applyBorder="1" applyProtection="1">
      <alignment horizontal="center" vertical="center"/>
    </xf>
    <xf numFmtId="0" fontId="6" fillId="0" borderId="2" xfId="0" applyFont="1" applyBorder="1" applyProtection="1">
      <alignment vertical="center"/>
    </xf>
    <xf numFmtId="0" fontId="6" fillId="0" borderId="3" xfId="0" applyFont="1" applyBorder="1" applyProtection="1">
      <alignment vertical="center"/>
    </xf>
    <xf numFmtId="0" fontId="5" fillId="0" borderId="4" xfId="0" applyFont="1" applyBorder="1" applyProtection="1">
      <alignment horizontal="center" vertical="center"/>
    </xf>
    <xf numFmtId="3" fontId="5" fillId="3" borderId="1" xfId="0" applyNumberFormat="1" applyFont="1" applyFill="1" applyBorder="1" applyProtection="1">
      <alignment horizontal="center" vertical="center"/>
    </xf>
    <xf numFmtId="0" fontId="6" fillId="0" borderId="0" xfId="0" applyFont="1">
      <alignment horizontal="left" vertical="center"/>
    </xf>
    <xf numFmtId="0" fontId="5" fillId="6" borderId="4" xfId="0" applyFont="1" applyFill="1" applyBorder="1" applyProtection="1">
      <alignment horizontal="center" vertical="center"/>
    </xf>
    <xf numFmtId="0" fontId="6" fillId="6" borderId="3" xfId="0" applyFont="1" applyFill="1" applyBorder="1" applyProtection="1">
      <alignment vertical="center"/>
    </xf>
    <xf numFmtId="10" fontId="5" fillId="6" borderId="1" xfId="0" applyNumberFormat="1" applyFont="1" applyFill="1" applyBorder="1" applyProtection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16.5" customHeight="1">
      <c r="A1" s="23" t="s">
        <v>0</v>
      </c>
      <c r="B1" s="21"/>
      <c r="C1" s="21"/>
      <c r="D1" s="21"/>
      <c r="E1" s="21"/>
      <c r="F1" s="21"/>
      <c r="G1" s="21"/>
      <c r="H1" s="22"/>
    </row>
    <row r="2" ht="16.5" customHeight="1">
      <c r="A2" s="12" t="s">
        <v>1</v>
      </c>
      <c r="B2" s="9"/>
      <c r="C2" s="9"/>
      <c r="D2" s="9"/>
      <c r="E2" s="9"/>
      <c r="F2" s="9"/>
      <c r="G2" s="9"/>
      <c r="H2" s="9"/>
    </row>
    <row r="3" ht="16.5" customHeight="1">
      <c r="A3" s="13" t="s">
        <v>2</v>
      </c>
      <c r="B3" s="12" t="s">
        <v>3</v>
      </c>
      <c r="C3" s="14" t="s">
        <v>4</v>
      </c>
      <c r="D3" s="16" t="s">
        <v>5</v>
      </c>
      <c r="E3" s="13" t="s">
        <v>6</v>
      </c>
      <c r="F3" s="12" t="s">
        <v>7</v>
      </c>
      <c r="G3" s="12" t="s">
        <v>8</v>
      </c>
      <c r="H3" s="13" t="s">
        <v>9</v>
      </c>
    </row>
    <row r="4" ht="16.5" customHeight="1">
      <c r="A4" s="5" t="n">
        <v>0</v>
      </c>
      <c r="B4" s="15" t="n">
        <v>1</v>
      </c>
      <c r="C4" s="6" t="n">
        <f>A4*B4/0.6</f>
        <v>0</v>
      </c>
      <c r="D4" s="16" t="n">
        <v>8450</v>
      </c>
      <c r="E4" s="5" t="n">
        <f>A4*D4</f>
        <v>0</v>
      </c>
      <c r="F4" s="10" t="n">
        <f>C4*D4</f>
        <v>0</v>
      </c>
      <c r="G4" s="11" t="n">
        <f>D4/$B$13</f>
        <v>0.981759033344952</v>
      </c>
      <c r="H4" s="12"/>
    </row>
    <row r="5" ht="16.5" customHeight="1">
      <c r="A5" s="5" t="n">
        <v>500</v>
      </c>
      <c r="B5" s="15" t="n">
        <v>1</v>
      </c>
      <c r="C5" s="6" t="n">
        <f>A5*B5/0.6</f>
        <v>833.333333333333</v>
      </c>
      <c r="D5" s="16" t="n">
        <v>80</v>
      </c>
      <c r="E5" s="5" t="n">
        <f>A5*D5</f>
        <v>40000</v>
      </c>
      <c r="F5" s="10" t="n">
        <f>C5*D5</f>
        <v>66666.6666666666</v>
      </c>
      <c r="G5" s="11" t="n">
        <f>D5/$B$13</f>
        <v>0.00929476007900546</v>
      </c>
      <c r="H5" s="12"/>
    </row>
    <row r="6" ht="16.5" customHeight="1">
      <c r="A6" s="5" t="n">
        <v>1000</v>
      </c>
      <c r="B6" s="15" t="n">
        <v>1</v>
      </c>
      <c r="C6" s="6" t="n">
        <f>A6*B6/0.6</f>
        <v>1666.66666666667</v>
      </c>
      <c r="D6" s="16" t="n">
        <v>40</v>
      </c>
      <c r="E6" s="5" t="n">
        <f>A6*D6</f>
        <v>40000</v>
      </c>
      <c r="F6" s="10" t="n">
        <f>C6*D6</f>
        <v>66666.6666666668</v>
      </c>
      <c r="G6" s="11" t="n">
        <f>D6/$B$13</f>
        <v>0.00464738003950273</v>
      </c>
      <c r="H6" s="12"/>
    </row>
    <row r="7" ht="16.5" customHeight="1">
      <c r="A7" s="5" t="n">
        <v>2000</v>
      </c>
      <c r="B7" s="15" t="n">
        <v>1</v>
      </c>
      <c r="C7" s="6" t="n">
        <f>A7*B7/0.6</f>
        <v>3333.33333333333</v>
      </c>
      <c r="D7" s="16" t="n">
        <v>20</v>
      </c>
      <c r="E7" s="5" t="n">
        <f>A7*D7</f>
        <v>40000</v>
      </c>
      <c r="F7" s="10" t="n">
        <f>C7*D7</f>
        <v>66666.6666666666</v>
      </c>
      <c r="G7" s="11" t="n">
        <f>D7/$B$13</f>
        <v>0.00232369001975137</v>
      </c>
      <c r="H7" s="12"/>
    </row>
    <row r="8" ht="16.5" customHeight="1">
      <c r="A8" s="5" t="n">
        <v>5000</v>
      </c>
      <c r="B8" s="15" t="n">
        <v>1</v>
      </c>
      <c r="C8" s="6" t="n">
        <f>A8*B8/0.6</f>
        <v>8333.33333333333</v>
      </c>
      <c r="D8" s="16" t="n">
        <v>10</v>
      </c>
      <c r="E8" s="5" t="n">
        <f>A8*D8</f>
        <v>50000</v>
      </c>
      <c r="F8" s="10" t="n">
        <f>C8*D8</f>
        <v>83333.3333333333</v>
      </c>
      <c r="G8" s="11" t="n">
        <f>D8/$B$13</f>
        <v>0.00116184500987568</v>
      </c>
      <c r="H8" s="12"/>
    </row>
    <row r="9" ht="16.5" customHeight="1">
      <c r="A9" s="5" t="n">
        <v>10000</v>
      </c>
      <c r="B9" s="15" t="n">
        <v>1</v>
      </c>
      <c r="C9" s="6" t="n">
        <f>A9*B9/0.6</f>
        <v>16666.6666666667</v>
      </c>
      <c r="D9" s="16" t="n">
        <v>5</v>
      </c>
      <c r="E9" s="5" t="n">
        <f>A9*D9</f>
        <v>50000</v>
      </c>
      <c r="F9" s="10" t="n">
        <f>C9*D9</f>
        <v>83333.3333333335</v>
      </c>
      <c r="G9" s="11" t="n">
        <f>D9/$B$13</f>
        <v>5.80922504937841e-4</v>
      </c>
      <c r="H9" s="17"/>
    </row>
    <row r="10" ht="16.5" customHeight="1">
      <c r="A10" s="5" t="n">
        <v>50000</v>
      </c>
      <c r="B10" s="15" t="n">
        <v>1</v>
      </c>
      <c r="C10" s="6" t="n">
        <f>A10*B10/0.6</f>
        <v>83333.3333333333</v>
      </c>
      <c r="D10" s="16" t="n">
        <v>1</v>
      </c>
      <c r="E10" s="5" t="n">
        <f>A10*D10</f>
        <v>50000</v>
      </c>
      <c r="F10" s="10" t="n">
        <f>C10*D10</f>
        <v>83333.3333333333</v>
      </c>
      <c r="G10" s="11" t="n">
        <f>D10/$B$13</f>
        <v>1.16184500987568e-4</v>
      </c>
      <c r="H10" s="12"/>
    </row>
    <row r="11" ht="16.5" customHeight="1">
      <c r="A11" s="5" t="n">
        <v>100000</v>
      </c>
      <c r="B11" s="15" t="n">
        <v>1</v>
      </c>
      <c r="C11" s="6" t="n">
        <f>A11*B11/0.6</f>
        <v>166666.666666667</v>
      </c>
      <c r="D11" s="16" t="n">
        <v>1</v>
      </c>
      <c r="E11" s="5" t="n">
        <f>A11*D11</f>
        <v>100000</v>
      </c>
      <c r="F11" s="10" t="n">
        <f>C11*D11</f>
        <v>166666.666666667</v>
      </c>
      <c r="G11" s="11" t="n">
        <f>D11/$B$13</f>
        <v>1.16184500987568e-4</v>
      </c>
      <c r="H11" s="12"/>
    </row>
    <row r="12" ht="16.5" customHeight="1">
      <c r="A12" s="13"/>
      <c r="B12" s="13"/>
      <c r="C12" s="13"/>
      <c r="D12" s="13"/>
      <c r="E12" s="13"/>
      <c r="F12" s="13"/>
      <c r="G12" s="13"/>
      <c r="H12" s="13"/>
    </row>
    <row r="13" ht="16.5" customHeight="1">
      <c r="A13" s="18" t="s">
        <v>10</v>
      </c>
      <c r="B13" s="19" t="n">
        <f>SUM(D4:D11)</f>
        <v>8607</v>
      </c>
      <c r="C13" s="20" t="s">
        <v>11</v>
      </c>
      <c r="D13" s="9"/>
      <c r="E13" s="24" t="n">
        <f>SUM(E4:E11)</f>
        <v>370000</v>
      </c>
      <c r="F13" s="26" t="s">
        <v>12</v>
      </c>
      <c r="G13" s="27"/>
      <c r="H13" s="28" t="n">
        <f>E13/E15</f>
        <v>0.429882653654003</v>
      </c>
    </row>
    <row r="14" ht="16.5" customHeight="1">
      <c r="A14" s="18" t="s">
        <v>13</v>
      </c>
      <c r="B14" s="18" t="n">
        <v>100</v>
      </c>
      <c r="C14" s="20" t="s">
        <v>14</v>
      </c>
      <c r="D14" s="9"/>
      <c r="E14" s="24" t="n">
        <f>SUM(F4:F11)</f>
        <v>616666.666666667</v>
      </c>
      <c r="F14" s="26" t="s">
        <v>15</v>
      </c>
      <c r="G14" s="27"/>
      <c r="H14" s="28" t="n">
        <f>E14/E15</f>
        <v>0.716471089423338</v>
      </c>
    </row>
    <row r="15" ht="16.5" customHeight="1">
      <c r="A15" s="12"/>
      <c r="B15" s="12"/>
      <c r="C15" s="20" t="s">
        <v>16</v>
      </c>
      <c r="D15" s="9"/>
      <c r="E15" s="7" t="n">
        <f>B13*B14</f>
        <v>860700</v>
      </c>
      <c r="F15" s="26" t="s">
        <v>17</v>
      </c>
      <c r="G15" s="27"/>
      <c r="H15" s="28" t="n">
        <f>E15/E14</f>
        <v>1.39572972972973</v>
      </c>
    </row>
    <row r="16" ht="16.5" customHeight="1">
      <c r="A16" s="8"/>
      <c r="B16" s="8"/>
      <c r="C16" s="8"/>
      <c r="D16" s="8"/>
      <c r="E16" s="8"/>
      <c r="F16" s="8"/>
      <c r="G16" s="8"/>
      <c r="H16" s="8"/>
    </row>
    <row r="17" ht="16.5" customHeight="1">
      <c r="A17" s="8" t="s">
        <v>1</v>
      </c>
      <c r="B17" s="25" t="s">
        <v>18</v>
      </c>
      <c r="C17" s="8"/>
      <c r="D17" s="8"/>
      <c r="E17" s="8"/>
      <c r="F17" s="8"/>
      <c r="G17" s="8"/>
      <c r="H17" s="8"/>
    </row>
    <row r="18" ht="16.5" customHeight="1">
      <c r="A18" s="8"/>
      <c r="B18" s="25"/>
      <c r="C18" s="8"/>
      <c r="D18" s="8"/>
      <c r="E18" s="8"/>
      <c r="F18" s="8"/>
      <c r="G18" s="8"/>
      <c r="H18" s="8"/>
    </row>
    <row r="19" ht="16.5" customHeight="1">
      <c r="A19" s="8"/>
      <c r="B19" s="25"/>
      <c r="C19" s="8"/>
      <c r="D19" s="8"/>
      <c r="E19" s="8"/>
      <c r="F19" s="8"/>
      <c r="G19" s="8"/>
      <c r="H19" s="8"/>
    </row>
    <row r="20" ht="16.5" customHeight="1">
      <c r="A20" s="23" t="s">
        <v>19</v>
      </c>
      <c r="B20" s="21"/>
      <c r="C20" s="21"/>
      <c r="D20" s="21"/>
      <c r="E20" s="21"/>
      <c r="F20" s="21"/>
      <c r="G20" s="21"/>
      <c r="H20" s="22"/>
    </row>
    <row r="21" ht="16.5" customHeight="1">
      <c r="A21" s="12" t="s">
        <v>20</v>
      </c>
      <c r="B21" s="9"/>
      <c r="C21" s="9"/>
      <c r="D21" s="9"/>
      <c r="E21" s="9"/>
      <c r="F21" s="9"/>
      <c r="G21" s="9"/>
      <c r="H21" s="9"/>
    </row>
    <row r="22" ht="16.5" customHeight="1">
      <c r="A22" s="13" t="s">
        <v>2</v>
      </c>
      <c r="B22" s="12" t="s">
        <v>3</v>
      </c>
      <c r="C22" s="14" t="s">
        <v>4</v>
      </c>
      <c r="D22" s="16" t="s">
        <v>5</v>
      </c>
      <c r="E22" s="13" t="s">
        <v>6</v>
      </c>
      <c r="F22" s="12" t="s">
        <v>7</v>
      </c>
      <c r="G22" s="12" t="s">
        <v>8</v>
      </c>
      <c r="H22" s="13" t="s">
        <v>9</v>
      </c>
    </row>
    <row r="23" ht="16.5" customHeight="1">
      <c r="A23" s="5" t="n">
        <v>1800</v>
      </c>
      <c r="B23" s="15" t="n">
        <v>1</v>
      </c>
      <c r="C23" s="6" t="n">
        <f>A23*B23/0.6</f>
        <v>3000</v>
      </c>
      <c r="D23" s="16" t="n">
        <v>87</v>
      </c>
      <c r="E23" s="5" t="n">
        <f>A23*D23</f>
        <v>156600</v>
      </c>
      <c r="F23" s="10" t="n">
        <f>C23*D23</f>
        <v>261000</v>
      </c>
      <c r="G23" s="11" t="n">
        <f>D23/$B$32</f>
        <v>0.33206106870229</v>
      </c>
      <c r="H23" s="12"/>
    </row>
    <row r="24" ht="16.5" customHeight="1">
      <c r="A24" s="5" t="n">
        <v>5000</v>
      </c>
      <c r="B24" s="15" t="n">
        <v>1</v>
      </c>
      <c r="C24" s="6" t="n">
        <f>A24*B24/0.6</f>
        <v>8333.33333333333</v>
      </c>
      <c r="D24" s="16" t="n">
        <v>130</v>
      </c>
      <c r="E24" s="5" t="n">
        <f>A24*D24</f>
        <v>650000</v>
      </c>
      <c r="F24" s="10" t="n">
        <f>C24*D24</f>
        <v>1083333.33333333</v>
      </c>
      <c r="G24" s="11" t="n">
        <f>D24/$B$32</f>
        <v>0.49618320610687</v>
      </c>
      <c r="H24" s="12"/>
    </row>
    <row r="25" ht="16.5" customHeight="1">
      <c r="A25" s="5" t="n">
        <v>10000</v>
      </c>
      <c r="B25" s="15" t="n">
        <v>1</v>
      </c>
      <c r="C25" s="6" t="n">
        <f>A25*B25/0.6</f>
        <v>16666.6666666667</v>
      </c>
      <c r="D25" s="16" t="n">
        <v>30</v>
      </c>
      <c r="E25" s="5" t="n">
        <f>A25*D25</f>
        <v>300000</v>
      </c>
      <c r="F25" s="10" t="n">
        <f>C25*D25</f>
        <v>500000.000000001</v>
      </c>
      <c r="G25" s="11" t="n">
        <f>D25/$B$32</f>
        <v>0.114503816793893</v>
      </c>
      <c r="H25" s="12"/>
    </row>
    <row r="26" ht="16.5" customHeight="1">
      <c r="A26" s="5" t="n">
        <v>20000</v>
      </c>
      <c r="B26" s="15" t="n">
        <v>1</v>
      </c>
      <c r="C26" s="6" t="n">
        <f>A26*B26/0.6</f>
        <v>33333.3333333333</v>
      </c>
      <c r="D26" s="16" t="n">
        <v>8</v>
      </c>
      <c r="E26" s="5" t="n">
        <f>A26*D26</f>
        <v>160000</v>
      </c>
      <c r="F26" s="10" t="n">
        <f>C26*D26</f>
        <v>266666.666666666</v>
      </c>
      <c r="G26" s="11" t="n">
        <f>D26/$B$32</f>
        <v>0.0305343511450382</v>
      </c>
      <c r="H26" s="12"/>
    </row>
    <row r="27" ht="16.5" customHeight="1">
      <c r="A27" s="5" t="n">
        <v>50000</v>
      </c>
      <c r="B27" s="15" t="n">
        <v>1</v>
      </c>
      <c r="C27" s="6" t="n">
        <f>A27*B27/0.6</f>
        <v>83333.3333333333</v>
      </c>
      <c r="D27" s="16" t="n">
        <v>3</v>
      </c>
      <c r="E27" s="5" t="n">
        <f>A27*D27</f>
        <v>150000</v>
      </c>
      <c r="F27" s="10" t="n">
        <f>C27*D27</f>
        <v>250000</v>
      </c>
      <c r="G27" s="11" t="n">
        <f>D27/$B$32</f>
        <v>0.0114503816793893</v>
      </c>
      <c r="H27" s="17"/>
    </row>
    <row r="28" ht="16.5" customHeight="1">
      <c r="A28" s="5" t="n">
        <v>100000</v>
      </c>
      <c r="B28" s="15" t="n">
        <v>1</v>
      </c>
      <c r="C28" s="6" t="n">
        <f>A28*B28/0.6</f>
        <v>166666.666666667</v>
      </c>
      <c r="D28" s="16" t="n">
        <v>2</v>
      </c>
      <c r="E28" s="5" t="n">
        <f>A28*D28</f>
        <v>200000</v>
      </c>
      <c r="F28" s="10" t="n">
        <f>C28*D28</f>
        <v>333333.333333334</v>
      </c>
      <c r="G28" s="11" t="n">
        <f>D28/$B$32</f>
        <v>0.00763358778625954</v>
      </c>
      <c r="H28" s="12"/>
    </row>
    <row r="29" ht="16.5" customHeight="1">
      <c r="A29" s="5" t="n">
        <v>200000</v>
      </c>
      <c r="B29" s="15" t="n">
        <v>1</v>
      </c>
      <c r="C29" s="6" t="n">
        <f>A29*B29/0.6</f>
        <v>333333.333333333</v>
      </c>
      <c r="D29" s="16" t="n">
        <v>1</v>
      </c>
      <c r="E29" s="5" t="n">
        <f>A29*D29</f>
        <v>200000</v>
      </c>
      <c r="F29" s="10" t="n">
        <f>C29*D29</f>
        <v>333333.333333333</v>
      </c>
      <c r="G29" s="11" t="n">
        <f>D29/$B$32</f>
        <v>0.00381679389312977</v>
      </c>
      <c r="H29" s="12"/>
    </row>
    <row r="30" ht="16.5" customHeight="1">
      <c r="A30" s="5" t="n">
        <v>300000</v>
      </c>
      <c r="B30" s="15" t="n">
        <v>1</v>
      </c>
      <c r="C30" s="6" t="n">
        <f>A30*B30/0.6</f>
        <v>500000</v>
      </c>
      <c r="D30" s="16" t="n">
        <v>1</v>
      </c>
      <c r="E30" s="5" t="n">
        <f>A30*D30</f>
        <v>300000</v>
      </c>
      <c r="F30" s="10" t="n">
        <f>C30*D30</f>
        <v>500000</v>
      </c>
      <c r="G30" s="11" t="n">
        <f>D30/$B$32</f>
        <v>0.00381679389312977</v>
      </c>
      <c r="H30" s="12"/>
    </row>
    <row r="31" ht="16.5" customHeight="1">
      <c r="A31" s="13"/>
      <c r="B31" s="13"/>
      <c r="C31" s="13"/>
      <c r="D31" s="13"/>
      <c r="E31" s="13"/>
      <c r="F31" s="13"/>
      <c r="G31" s="13"/>
      <c r="H31" s="13"/>
    </row>
    <row r="32" ht="16.5" customHeight="1">
      <c r="A32" s="18" t="s">
        <v>10</v>
      </c>
      <c r="B32" s="19" t="n">
        <f>SUM(D23:D30)</f>
        <v>262</v>
      </c>
      <c r="C32" s="20" t="s">
        <v>11</v>
      </c>
      <c r="D32" s="9"/>
      <c r="E32" s="24" t="n">
        <f>SUM(E23:E30)</f>
        <v>2116600</v>
      </c>
      <c r="F32" s="26" t="s">
        <v>12</v>
      </c>
      <c r="G32" s="27"/>
      <c r="H32" s="28" t="n">
        <f>E32/E34</f>
        <v>0.429714146499919</v>
      </c>
    </row>
    <row r="33" ht="16.5" customHeight="1">
      <c r="A33" s="18" t="s">
        <v>13</v>
      </c>
      <c r="B33" s="18" t="n">
        <v>18800</v>
      </c>
      <c r="C33" s="20" t="s">
        <v>14</v>
      </c>
      <c r="D33" s="9"/>
      <c r="E33" s="24" t="n">
        <f>SUM(F23:F30)</f>
        <v>3527666.66666666</v>
      </c>
      <c r="F33" s="26" t="s">
        <v>15</v>
      </c>
      <c r="G33" s="27"/>
      <c r="H33" s="28" t="n">
        <f>E33/E34</f>
        <v>0.71619024416653</v>
      </c>
    </row>
    <row r="34" ht="16.5" customHeight="1">
      <c r="A34" s="12"/>
      <c r="B34" s="12"/>
      <c r="C34" s="20" t="s">
        <v>16</v>
      </c>
      <c r="D34" s="9"/>
      <c r="E34" s="7" t="n">
        <f>B32*B33</f>
        <v>4925600</v>
      </c>
      <c r="F34" s="26" t="s">
        <v>17</v>
      </c>
      <c r="G34" s="27"/>
      <c r="H34" s="28" t="n">
        <f>E34/E33</f>
        <v>1.39627704809601</v>
      </c>
    </row>
    <row r="35" ht="16.5" customHeight="1">
      <c r="A35" s="8"/>
      <c r="B35" s="8"/>
      <c r="C35" s="8"/>
      <c r="D35" s="8"/>
      <c r="E35" s="8"/>
      <c r="F35" s="8"/>
      <c r="G35" s="8"/>
      <c r="H35" s="8"/>
    </row>
    <row r="36" ht="16.5" customHeight="1">
      <c r="A36" s="8" t="s">
        <v>21</v>
      </c>
      <c r="B36" s="25" t="s">
        <v>22</v>
      </c>
      <c r="C36" s="8"/>
      <c r="D36" s="8"/>
      <c r="E36" s="8"/>
      <c r="F36" s="8"/>
      <c r="G36" s="8"/>
      <c r="H36" s="8"/>
    </row>
    <row r="39" ht="16.5" customHeight="1">
      <c r="A39" s="23" t="s">
        <v>23</v>
      </c>
      <c r="B39" s="21"/>
      <c r="C39" s="21"/>
      <c r="D39" s="21"/>
      <c r="E39" s="21"/>
      <c r="F39" s="21"/>
      <c r="G39" s="21"/>
      <c r="H39" s="22"/>
    </row>
    <row r="40" ht="16.5" customHeight="1">
      <c r="A40" s="12" t="s">
        <v>24</v>
      </c>
      <c r="B40" s="9"/>
      <c r="C40" s="9"/>
      <c r="D40" s="9"/>
      <c r="E40" s="9"/>
      <c r="F40" s="9"/>
      <c r="G40" s="9"/>
      <c r="H40" s="9"/>
    </row>
    <row r="41" ht="16.5" customHeight="1">
      <c r="A41" s="13" t="s">
        <v>2</v>
      </c>
      <c r="B41" s="12" t="s">
        <v>3</v>
      </c>
      <c r="C41" s="14" t="s">
        <v>4</v>
      </c>
      <c r="D41" s="16" t="s">
        <v>5</v>
      </c>
      <c r="E41" s="13" t="s">
        <v>6</v>
      </c>
      <c r="F41" s="12" t="s">
        <v>7</v>
      </c>
      <c r="G41" s="12" t="s">
        <v>8</v>
      </c>
      <c r="H41" s="13" t="s">
        <v>9</v>
      </c>
    </row>
    <row r="42" ht="16.5" customHeight="1">
      <c r="A42" s="5" t="n">
        <v>10000</v>
      </c>
      <c r="B42" s="15" t="n">
        <v>1</v>
      </c>
      <c r="C42" s="6" t="n">
        <f>A42*B42/0.6</f>
        <v>16666.6666666667</v>
      </c>
      <c r="D42" s="16" t="n">
        <v>162</v>
      </c>
      <c r="E42" s="5" t="n">
        <f>A42*D42</f>
        <v>1620000</v>
      </c>
      <c r="F42" s="10" t="n">
        <f>C42*D42</f>
        <v>2700000.00000001</v>
      </c>
      <c r="G42" s="11" t="n">
        <f>D42/$B$51</f>
        <v>0.602230483271376</v>
      </c>
      <c r="H42" s="12"/>
    </row>
    <row r="43" ht="16.5" customHeight="1">
      <c r="A43" s="5" t="n">
        <v>20000</v>
      </c>
      <c r="B43" s="15" t="n">
        <v>1</v>
      </c>
      <c r="C43" s="6" t="n">
        <f>A43*B43/0.6</f>
        <v>33333.3333333333</v>
      </c>
      <c r="D43" s="16" t="n">
        <v>80</v>
      </c>
      <c r="E43" s="5" t="n">
        <f>A43*D43</f>
        <v>1600000</v>
      </c>
      <c r="F43" s="10" t="n">
        <f>C43*D43</f>
        <v>2666666.66666666</v>
      </c>
      <c r="G43" s="11" t="n">
        <f>D43/$B$51</f>
        <v>0.297397769516729</v>
      </c>
      <c r="H43" s="12"/>
    </row>
    <row r="44" ht="16.5" customHeight="1">
      <c r="A44" s="5" t="n">
        <v>50000</v>
      </c>
      <c r="B44" s="15" t="n">
        <v>1</v>
      </c>
      <c r="C44" s="6" t="n">
        <f>A44*B44/0.6</f>
        <v>83333.3333333333</v>
      </c>
      <c r="D44" s="16" t="n">
        <v>14</v>
      </c>
      <c r="E44" s="5" t="n">
        <f>A44*D44</f>
        <v>700000</v>
      </c>
      <c r="F44" s="10" t="n">
        <f>C44*D44</f>
        <v>1166666.66666667</v>
      </c>
      <c r="G44" s="11" t="n">
        <f>D44/$B$51</f>
        <v>0.0520446096654275</v>
      </c>
      <c r="H44" s="12"/>
    </row>
    <row r="45" ht="16.5" customHeight="1">
      <c r="A45" s="5" t="n">
        <v>100000</v>
      </c>
      <c r="B45" s="15" t="n">
        <v>1</v>
      </c>
      <c r="C45" s="6" t="n">
        <f>A45*B45/0.6</f>
        <v>166666.666666667</v>
      </c>
      <c r="D45" s="16" t="n">
        <v>9</v>
      </c>
      <c r="E45" s="5" t="n">
        <f>A45*D45</f>
        <v>900000</v>
      </c>
      <c r="F45" s="10" t="n">
        <f>C45*D45</f>
        <v>1500000</v>
      </c>
      <c r="G45" s="11" t="n">
        <f>D45/$B$51</f>
        <v>0.033457249070632</v>
      </c>
      <c r="H45" s="12"/>
    </row>
    <row r="46" ht="16.5" customHeight="1">
      <c r="A46" s="5" t="n">
        <v>200000</v>
      </c>
      <c r="B46" s="15" t="n">
        <v>1</v>
      </c>
      <c r="C46" s="6" t="n">
        <f>A46*B46/0.6</f>
        <v>333333.333333333</v>
      </c>
      <c r="D46" s="16" t="n">
        <v>2</v>
      </c>
      <c r="E46" s="5" t="n">
        <f>A46*D46</f>
        <v>400000</v>
      </c>
      <c r="F46" s="10" t="n">
        <f>C46*D46</f>
        <v>666666.666666666</v>
      </c>
      <c r="G46" s="11" t="n">
        <f>D46/$B$51</f>
        <v>0.00743494423791822</v>
      </c>
      <c r="H46" s="17"/>
    </row>
    <row r="47" ht="16.5" customHeight="1">
      <c r="A47" s="5" t="n">
        <v>300000</v>
      </c>
      <c r="B47" s="15" t="n">
        <v>1</v>
      </c>
      <c r="C47" s="6" t="n">
        <f>A47*B47/0.6</f>
        <v>500000</v>
      </c>
      <c r="D47" s="16" t="n">
        <v>1</v>
      </c>
      <c r="E47" s="5" t="n">
        <f>A47*D47</f>
        <v>300000</v>
      </c>
      <c r="F47" s="10" t="n">
        <f>C47*D47</f>
        <v>500000</v>
      </c>
      <c r="G47" s="11" t="n">
        <f>D47/$B$51</f>
        <v>0.00371747211895911</v>
      </c>
      <c r="H47" s="12"/>
    </row>
    <row r="48" ht="16.5" customHeight="1">
      <c r="A48" s="5" t="n">
        <v>500000</v>
      </c>
      <c r="B48" s="15" t="n">
        <v>1</v>
      </c>
      <c r="C48" s="6" t="n">
        <f>A48*B48/0.6</f>
        <v>833333.333333333</v>
      </c>
      <c r="D48" s="16" t="n">
        <v>1</v>
      </c>
      <c r="E48" s="5" t="n">
        <f>A48*D48</f>
        <v>500000</v>
      </c>
      <c r="F48" s="10" t="n">
        <f>C48*D48</f>
        <v>833333.333333333</v>
      </c>
      <c r="G48" s="11" t="n">
        <f>D48/$B$51</f>
        <v>0.00371747211895911</v>
      </c>
      <c r="H48" s="12"/>
    </row>
    <row r="49" ht="16.5" customHeight="1">
      <c r="A49" s="5"/>
      <c r="B49" s="15"/>
      <c r="C49" s="6"/>
      <c r="D49" s="16"/>
      <c r="E49" s="5"/>
      <c r="F49" s="10"/>
      <c r="G49" s="11"/>
      <c r="H49" s="12"/>
    </row>
    <row r="50" ht="16.5" customHeight="1">
      <c r="A50" s="13"/>
      <c r="B50" s="13"/>
      <c r="C50" s="13"/>
      <c r="D50" s="13"/>
      <c r="E50" s="13"/>
      <c r="F50" s="13"/>
      <c r="G50" s="13"/>
      <c r="H50" s="13"/>
    </row>
    <row r="51" ht="16.5" customHeight="1">
      <c r="A51" s="18" t="s">
        <v>10</v>
      </c>
      <c r="B51" s="19" t="n">
        <f>SUM(D42:D49)</f>
        <v>269</v>
      </c>
      <c r="C51" s="20" t="s">
        <v>11</v>
      </c>
      <c r="D51" s="9"/>
      <c r="E51" s="24" t="n">
        <f>SUM(E42:E49)</f>
        <v>6020000</v>
      </c>
      <c r="F51" s="26" t="s">
        <v>12</v>
      </c>
      <c r="G51" s="27"/>
      <c r="H51" s="28" t="n">
        <f>E51/E53</f>
        <v>0.430368887617958</v>
      </c>
    </row>
    <row r="52" ht="16.5" customHeight="1">
      <c r="A52" s="18" t="s">
        <v>13</v>
      </c>
      <c r="B52" s="18" t="n">
        <v>52000</v>
      </c>
      <c r="C52" s="20" t="s">
        <v>14</v>
      </c>
      <c r="D52" s="9"/>
      <c r="E52" s="24" t="n">
        <f>SUM(F42:F49)</f>
        <v>10033333.3333333</v>
      </c>
      <c r="F52" s="26" t="s">
        <v>15</v>
      </c>
      <c r="G52" s="27"/>
      <c r="H52" s="28" t="n">
        <f>E52/E53</f>
        <v>0.717281479363261</v>
      </c>
    </row>
    <row r="53" ht="16.5" customHeight="1">
      <c r="A53" s="12"/>
      <c r="B53" s="12"/>
      <c r="C53" s="20" t="s">
        <v>16</v>
      </c>
      <c r="D53" s="9"/>
      <c r="E53" s="7" t="n">
        <f>B51*B52</f>
        <v>13988000</v>
      </c>
      <c r="F53" s="26" t="s">
        <v>17</v>
      </c>
      <c r="G53" s="27"/>
      <c r="H53" s="28" t="n">
        <f>E53/E52</f>
        <v>1.39415282392027</v>
      </c>
    </row>
    <row r="54" ht="16.5" customHeight="1">
      <c r="A54" s="8"/>
      <c r="B54" s="8"/>
      <c r="C54" s="8"/>
      <c r="D54" s="8"/>
      <c r="E54" s="8"/>
      <c r="F54" s="8"/>
      <c r="G54" s="8"/>
      <c r="H54" s="8"/>
    </row>
    <row r="55" ht="16.5" customHeight="1">
      <c r="A55" s="8" t="s">
        <v>20</v>
      </c>
      <c r="B55" s="25" t="s">
        <v>22</v>
      </c>
      <c r="C55" s="8"/>
      <c r="D55" s="8"/>
      <c r="E55" s="8"/>
      <c r="F55" s="8"/>
      <c r="G55" s="8"/>
      <c r="H55" s="8"/>
    </row>
    <row r="58" ht="16.5" customHeight="1">
      <c r="A58" s="23" t="s">
        <v>25</v>
      </c>
      <c r="B58" s="21"/>
      <c r="C58" s="21"/>
      <c r="D58" s="21"/>
      <c r="E58" s="21"/>
      <c r="F58" s="21"/>
      <c r="G58" s="21"/>
      <c r="H58" s="22"/>
    </row>
    <row r="59" ht="16.5" customHeight="1">
      <c r="A59" s="12" t="s">
        <v>26</v>
      </c>
      <c r="B59" s="9"/>
      <c r="C59" s="9"/>
      <c r="D59" s="9"/>
      <c r="E59" s="9"/>
      <c r="F59" s="9"/>
      <c r="G59" s="9"/>
      <c r="H59" s="9"/>
    </row>
    <row r="60" ht="16.5" customHeight="1">
      <c r="A60" s="13" t="s">
        <v>2</v>
      </c>
      <c r="B60" s="12" t="s">
        <v>3</v>
      </c>
      <c r="C60" s="14" t="s">
        <v>4</v>
      </c>
      <c r="D60" s="16" t="s">
        <v>5</v>
      </c>
      <c r="E60" s="13" t="s">
        <v>6</v>
      </c>
      <c r="F60" s="12" t="s">
        <v>7</v>
      </c>
      <c r="G60" s="12" t="s">
        <v>8</v>
      </c>
      <c r="H60" s="13" t="s">
        <v>9</v>
      </c>
    </row>
    <row r="61" ht="16.5" customHeight="1">
      <c r="A61" s="5" t="n">
        <v>20000</v>
      </c>
      <c r="B61" s="15" t="n">
        <v>1</v>
      </c>
      <c r="C61" s="6" t="n">
        <f>A61*B61/0.6</f>
        <v>33333.3333333333</v>
      </c>
      <c r="D61" s="16" t="n">
        <v>69</v>
      </c>
      <c r="E61" s="5" t="n">
        <f>A61*D61</f>
        <v>1380000</v>
      </c>
      <c r="F61" s="10" t="n">
        <f>C61*D61</f>
        <v>2300000</v>
      </c>
      <c r="G61" s="11" t="n">
        <f>D61/$B$51</f>
        <v>0.256505576208178</v>
      </c>
      <c r="H61" s="12"/>
    </row>
    <row r="62" ht="16.5" customHeight="1">
      <c r="A62" s="5" t="n">
        <v>50000</v>
      </c>
      <c r="B62" s="15" t="n">
        <v>1</v>
      </c>
      <c r="C62" s="6" t="n">
        <f>A62*B62/0.6</f>
        <v>83333.3333333333</v>
      </c>
      <c r="D62" s="16" t="n">
        <v>15</v>
      </c>
      <c r="E62" s="5" t="n">
        <f>A62*D62</f>
        <v>750000</v>
      </c>
      <c r="F62" s="10" t="n">
        <f>C62*D62</f>
        <v>1250000</v>
      </c>
      <c r="G62" s="11" t="n">
        <f>D62/$B$51</f>
        <v>0.0557620817843866</v>
      </c>
      <c r="H62" s="12"/>
    </row>
    <row r="63" ht="16.5" customHeight="1">
      <c r="A63" s="5" t="n">
        <v>100000</v>
      </c>
      <c r="B63" s="15" t="n">
        <v>1</v>
      </c>
      <c r="C63" s="6" t="n">
        <f>A63*B63/0.6</f>
        <v>166666.666666667</v>
      </c>
      <c r="D63" s="16" t="n">
        <v>15</v>
      </c>
      <c r="E63" s="5" t="n">
        <f>A63*D63</f>
        <v>1500000</v>
      </c>
      <c r="F63" s="10" t="n">
        <f>C63*D63</f>
        <v>2500000.00000001</v>
      </c>
      <c r="G63" s="11" t="n">
        <f>D63/$B$51</f>
        <v>0.0557620817843866</v>
      </c>
      <c r="H63" s="12"/>
    </row>
    <row r="64" ht="16.5" customHeight="1">
      <c r="A64" s="5" t="n">
        <v>200000</v>
      </c>
      <c r="B64" s="15" t="n">
        <v>1</v>
      </c>
      <c r="C64" s="6" t="n">
        <f>A64*B64/0.6</f>
        <v>333333.333333333</v>
      </c>
      <c r="D64" s="16" t="n">
        <v>2</v>
      </c>
      <c r="E64" s="5" t="n">
        <f>A64*D64</f>
        <v>400000</v>
      </c>
      <c r="F64" s="10" t="n">
        <f>C64*D64</f>
        <v>666666.666666666</v>
      </c>
      <c r="G64" s="11" t="n">
        <f>D64/$B$51</f>
        <v>0.00743494423791822</v>
      </c>
      <c r="H64" s="12"/>
    </row>
    <row r="65" ht="16.5" customHeight="1">
      <c r="A65" s="5" t="n">
        <v>300000</v>
      </c>
      <c r="B65" s="15" t="n">
        <v>1</v>
      </c>
      <c r="C65" s="6" t="n">
        <f>A65*B65/0.6</f>
        <v>500000</v>
      </c>
      <c r="D65" s="16" t="n">
        <v>2</v>
      </c>
      <c r="E65" s="5" t="n">
        <f>A65*D65</f>
        <v>600000</v>
      </c>
      <c r="F65" s="10" t="n">
        <f>C65*D65</f>
        <v>1000000</v>
      </c>
      <c r="G65" s="11" t="n">
        <f>D65/$B$51</f>
        <v>0.00743494423791822</v>
      </c>
      <c r="H65" s="17"/>
    </row>
    <row r="66" ht="16.5" customHeight="1">
      <c r="A66" s="5" t="n">
        <v>500000</v>
      </c>
      <c r="B66" s="15" t="n">
        <v>1</v>
      </c>
      <c r="C66" s="6" t="n">
        <f>A66*B66/0.6</f>
        <v>833333.333333333</v>
      </c>
      <c r="D66" s="16" t="n">
        <v>1</v>
      </c>
      <c r="E66" s="5" t="n">
        <f>A66*D66</f>
        <v>500000</v>
      </c>
      <c r="F66" s="10" t="n">
        <f>C66*D66</f>
        <v>833333.333333333</v>
      </c>
      <c r="G66" s="11" t="n">
        <f>D66/$B$51</f>
        <v>0.00371747211895911</v>
      </c>
      <c r="H66" s="12"/>
    </row>
    <row r="67" ht="16.5" customHeight="1">
      <c r="A67" s="5" t="n">
        <v>800000</v>
      </c>
      <c r="B67" s="15" t="n">
        <v>1</v>
      </c>
      <c r="C67" s="6" t="n">
        <f>A67*B67/0.6</f>
        <v>1333333.33333333</v>
      </c>
      <c r="D67" s="16" t="n">
        <v>1</v>
      </c>
      <c r="E67" s="5" t="n">
        <f>A67*D67</f>
        <v>800000</v>
      </c>
      <c r="F67" s="10" t="n">
        <f>C67*D67</f>
        <v>1333333.33333333</v>
      </c>
      <c r="G67" s="11" t="n">
        <f>D67/$B$51</f>
        <v>0.00371747211895911</v>
      </c>
      <c r="H67" s="12"/>
    </row>
    <row r="68" ht="16.5" customHeight="1">
      <c r="A68" s="5"/>
      <c r="B68" s="15"/>
      <c r="C68" s="6"/>
      <c r="D68" s="16"/>
      <c r="E68" s="5"/>
      <c r="F68" s="10"/>
      <c r="G68" s="11"/>
      <c r="H68" s="12"/>
    </row>
    <row r="69" ht="16.5" customHeight="1">
      <c r="A69" s="13"/>
      <c r="B69" s="13"/>
      <c r="C69" s="13"/>
      <c r="D69" s="13"/>
      <c r="E69" s="13"/>
      <c r="F69" s="13"/>
      <c r="G69" s="13"/>
      <c r="H69" s="13"/>
    </row>
    <row r="70" ht="16.5" customHeight="1">
      <c r="A70" s="18" t="s">
        <v>10</v>
      </c>
      <c r="B70" s="19" t="n">
        <f>SUM(D61:D68)</f>
        <v>105</v>
      </c>
      <c r="C70" s="20" t="s">
        <v>11</v>
      </c>
      <c r="D70" s="9"/>
      <c r="E70" s="24" t="n">
        <f>SUM(E61:E68)</f>
        <v>5930000</v>
      </c>
      <c r="F70" s="26" t="s">
        <v>12</v>
      </c>
      <c r="G70" s="27"/>
      <c r="H70" s="28" t="n">
        <f>E70/E72</f>
        <v>0.429803580488512</v>
      </c>
    </row>
    <row r="71" ht="16.5" customHeight="1">
      <c r="A71" s="18" t="s">
        <v>13</v>
      </c>
      <c r="B71" s="18" t="n">
        <v>131400</v>
      </c>
      <c r="C71" s="20" t="s">
        <v>14</v>
      </c>
      <c r="D71" s="9"/>
      <c r="E71" s="24" t="n">
        <f>SUM(F61:F68)</f>
        <v>9883333.33333334</v>
      </c>
      <c r="F71" s="26" t="s">
        <v>15</v>
      </c>
      <c r="G71" s="27"/>
      <c r="H71" s="28" t="n">
        <f>E71/E72</f>
        <v>0.716339300814187</v>
      </c>
    </row>
    <row r="72" ht="16.5" customHeight="1">
      <c r="A72" s="12"/>
      <c r="B72" s="12"/>
      <c r="C72" s="20" t="s">
        <v>16</v>
      </c>
      <c r="D72" s="9"/>
      <c r="E72" s="7" t="n">
        <f>B70*B71</f>
        <v>13797000</v>
      </c>
      <c r="F72" s="26" t="s">
        <v>17</v>
      </c>
      <c r="G72" s="27"/>
      <c r="H72" s="28" t="n">
        <f>E72/E71</f>
        <v>1.39598650927487</v>
      </c>
    </row>
    <row r="73" ht="16.5" customHeight="1">
      <c r="A73" s="8"/>
      <c r="B73" s="8"/>
      <c r="C73" s="8"/>
      <c r="D73" s="8"/>
      <c r="E73" s="8"/>
      <c r="F73" s="8"/>
      <c r="G73" s="8"/>
      <c r="H73" s="8"/>
    </row>
    <row r="74" ht="16.5" customHeight="1">
      <c r="A74" s="8" t="s">
        <v>26</v>
      </c>
      <c r="B74" s="25" t="s">
        <v>27</v>
      </c>
      <c r="C74" s="8"/>
      <c r="D74" s="8"/>
      <c r="E74" s="8"/>
      <c r="F74" s="8"/>
      <c r="G74" s="8"/>
      <c r="H74" s="8"/>
    </row>
    <row r="77" ht="16.5" customHeight="1">
      <c r="A77" s="23" t="s">
        <v>28</v>
      </c>
      <c r="B77" s="21"/>
      <c r="C77" s="21"/>
      <c r="D77" s="21"/>
      <c r="E77" s="21"/>
      <c r="F77" s="21"/>
      <c r="G77" s="21"/>
      <c r="H77" s="22"/>
    </row>
    <row r="78" ht="16.5" customHeight="1">
      <c r="A78" s="12" t="s">
        <v>29</v>
      </c>
      <c r="B78" s="9"/>
      <c r="C78" s="9"/>
      <c r="D78" s="9"/>
      <c r="E78" s="9"/>
      <c r="F78" s="9"/>
      <c r="G78" s="9"/>
      <c r="H78" s="9"/>
    </row>
    <row r="79" ht="16.5" customHeight="1">
      <c r="A79" s="13" t="s">
        <v>2</v>
      </c>
      <c r="B79" s="12" t="s">
        <v>3</v>
      </c>
      <c r="C79" s="14" t="s">
        <v>4</v>
      </c>
      <c r="D79" s="16" t="s">
        <v>5</v>
      </c>
      <c r="E79" s="13" t="s">
        <v>6</v>
      </c>
      <c r="F79" s="12" t="s">
        <v>7</v>
      </c>
      <c r="G79" s="12" t="s">
        <v>8</v>
      </c>
      <c r="H79" s="13" t="s">
        <v>9</v>
      </c>
    </row>
    <row r="80" ht="16.5" customHeight="1">
      <c r="A80" s="5" t="n">
        <v>200000</v>
      </c>
      <c r="B80" s="15" t="n">
        <v>1</v>
      </c>
      <c r="C80" s="6" t="n">
        <f>A80*B80/0.6</f>
        <v>333333.333333333</v>
      </c>
      <c r="D80" s="16" t="n">
        <v>47</v>
      </c>
      <c r="E80" s="5" t="n">
        <f>A80*D80</f>
        <v>9400000</v>
      </c>
      <c r="F80" s="10" t="n">
        <f>C80*D80</f>
        <v>15666666.6666667</v>
      </c>
      <c r="G80" s="11" t="n">
        <f>D80/$B$51</f>
        <v>0.174721189591078</v>
      </c>
      <c r="H80" s="12"/>
    </row>
    <row r="81" ht="16.5" customHeight="1">
      <c r="A81" s="5" t="n">
        <v>500000</v>
      </c>
      <c r="B81" s="15" t="n">
        <v>1</v>
      </c>
      <c r="C81" s="6" t="n">
        <f>A81*B81/0.6</f>
        <v>833333.333333333</v>
      </c>
      <c r="D81" s="16" t="n">
        <v>5</v>
      </c>
      <c r="E81" s="5" t="n">
        <f>A81*D81</f>
        <v>2500000</v>
      </c>
      <c r="F81" s="10" t="n">
        <f>C81*D81</f>
        <v>4166666.66666667</v>
      </c>
      <c r="G81" s="11" t="n">
        <f>D81/$B$51</f>
        <v>0.0185873605947955</v>
      </c>
      <c r="H81" s="12"/>
    </row>
    <row r="82" ht="16.5" customHeight="1">
      <c r="A82" s="5" t="n">
        <v>800000</v>
      </c>
      <c r="B82" s="15" t="n">
        <v>1</v>
      </c>
      <c r="C82" s="6" t="n">
        <f>A82*B82/0.6</f>
        <v>1333333.33333333</v>
      </c>
      <c r="D82" s="16" t="n">
        <v>5</v>
      </c>
      <c r="E82" s="5" t="n">
        <f>A82*D82</f>
        <v>4000000</v>
      </c>
      <c r="F82" s="10" t="n">
        <f>C82*D82</f>
        <v>6666666.66666665</v>
      </c>
      <c r="G82" s="11" t="n">
        <f>D82/$B$51</f>
        <v>0.0185873605947955</v>
      </c>
      <c r="H82" s="12"/>
    </row>
    <row r="83" ht="16.5" customHeight="1">
      <c r="A83" s="5" t="n">
        <v>1000000</v>
      </c>
      <c r="B83" s="15" t="n">
        <v>1</v>
      </c>
      <c r="C83" s="6" t="n">
        <f>A83*B83/0.6</f>
        <v>1666666.66666667</v>
      </c>
      <c r="D83" s="16" t="n">
        <v>5</v>
      </c>
      <c r="E83" s="5" t="n">
        <f>A83*D83</f>
        <v>5000000</v>
      </c>
      <c r="F83" s="10" t="n">
        <f>C83*D83</f>
        <v>8333333.33333335</v>
      </c>
      <c r="G83" s="11" t="n">
        <f>D83/$B$51</f>
        <v>0.0185873605947955</v>
      </c>
      <c r="H83" s="12"/>
    </row>
    <row r="84" ht="16.5" customHeight="1">
      <c r="A84" s="5" t="n">
        <v>2000000</v>
      </c>
      <c r="B84" s="15" t="n">
        <v>1</v>
      </c>
      <c r="C84" s="6" t="n">
        <f>A84*B84/0.6</f>
        <v>3333333.33333333</v>
      </c>
      <c r="D84" s="16" t="n">
        <v>2</v>
      </c>
      <c r="E84" s="5" t="n">
        <f>A84*D84</f>
        <v>4000000</v>
      </c>
      <c r="F84" s="10" t="n">
        <f>C84*D84</f>
        <v>6666666.66666666</v>
      </c>
      <c r="G84" s="11" t="n">
        <f>D84/$B$51</f>
        <v>0.00743494423791822</v>
      </c>
      <c r="H84" s="17"/>
    </row>
    <row r="85" ht="16.5" customHeight="1">
      <c r="A85" s="5" t="n">
        <v>3000000</v>
      </c>
      <c r="B85" s="15" t="n">
        <v>1</v>
      </c>
      <c r="C85" s="6" t="n">
        <f>A85*B85/0.6</f>
        <v>5000000</v>
      </c>
      <c r="D85" s="16" t="n">
        <v>1</v>
      </c>
      <c r="E85" s="5" t="n">
        <f>A85*D85</f>
        <v>3000000</v>
      </c>
      <c r="F85" s="10" t="n">
        <f>C85*D85</f>
        <v>5000000</v>
      </c>
      <c r="G85" s="11" t="n">
        <f>D85/$B$51</f>
        <v>0.00371747211895911</v>
      </c>
      <c r="H85" s="12"/>
    </row>
    <row r="86" ht="16.5" customHeight="1">
      <c r="A86" s="5"/>
      <c r="B86" s="15"/>
      <c r="C86" s="6"/>
      <c r="D86" s="16"/>
      <c r="E86" s="5"/>
      <c r="F86" s="10"/>
      <c r="G86" s="11"/>
      <c r="H86" s="12"/>
    </row>
    <row r="87" ht="16.5" customHeight="1">
      <c r="A87" s="13"/>
      <c r="B87" s="13"/>
      <c r="C87" s="13"/>
      <c r="D87" s="13"/>
      <c r="E87" s="13"/>
      <c r="F87" s="13"/>
      <c r="G87" s="13"/>
      <c r="H87" s="13"/>
    </row>
    <row r="88" ht="16.5" customHeight="1">
      <c r="A88" s="18" t="s">
        <v>10</v>
      </c>
      <c r="B88" s="19" t="n">
        <f>SUM(D80:D86)</f>
        <v>65</v>
      </c>
      <c r="C88" s="20" t="s">
        <v>11</v>
      </c>
      <c r="D88" s="9"/>
      <c r="E88" s="24" t="n">
        <f>SUM(E80:E86)</f>
        <v>27900000</v>
      </c>
      <c r="F88" s="26" t="s">
        <v>12</v>
      </c>
      <c r="G88" s="27"/>
      <c r="H88" s="28" t="n">
        <f>E88/E90</f>
        <v>0.429273696600429</v>
      </c>
    </row>
    <row r="89" ht="16.5" customHeight="1">
      <c r="A89" s="18" t="s">
        <v>13</v>
      </c>
      <c r="B89" s="18" t="n">
        <v>999900</v>
      </c>
      <c r="C89" s="20" t="s">
        <v>14</v>
      </c>
      <c r="D89" s="9"/>
      <c r="E89" s="24" t="n">
        <f>SUM(F80:F86)</f>
        <v>46500000</v>
      </c>
      <c r="F89" s="26" t="s">
        <v>15</v>
      </c>
      <c r="G89" s="27"/>
      <c r="H89" s="28" t="n">
        <f>E89/E90</f>
        <v>0.715456161000715</v>
      </c>
    </row>
    <row r="90" ht="16.5" customHeight="1">
      <c r="A90" s="12"/>
      <c r="B90" s="12"/>
      <c r="C90" s="20" t="s">
        <v>16</v>
      </c>
      <c r="D90" s="9"/>
      <c r="E90" s="7" t="n">
        <f>B88*B89</f>
        <v>64993500</v>
      </c>
      <c r="F90" s="26" t="s">
        <v>17</v>
      </c>
      <c r="G90" s="27"/>
      <c r="H90" s="28" t="n">
        <f>E90/E89</f>
        <v>1.39770967741936</v>
      </c>
    </row>
    <row r="91" ht="16.5" customHeight="1">
      <c r="A91" s="8"/>
      <c r="B91" s="8"/>
      <c r="C91" s="8"/>
      <c r="D91" s="8"/>
      <c r="E91" s="8"/>
      <c r="F91" s="8"/>
      <c r="G91" s="8"/>
      <c r="H91" s="8"/>
    </row>
    <row r="92" ht="16.5" customHeight="1">
      <c r="A92" s="8" t="s">
        <v>29</v>
      </c>
      <c r="B92" s="25" t="s">
        <v>30</v>
      </c>
      <c r="C92" s="8"/>
      <c r="D92" s="8"/>
      <c r="E92" s="8"/>
      <c r="F92" s="8"/>
      <c r="G92" s="8"/>
      <c r="H92" s="8"/>
    </row>
  </sheetData>
  <mergeCells count="40">
    <mergeCell ref="F13:G13"/>
    <mergeCell ref="F14:G14"/>
    <mergeCell ref="A1:H1"/>
    <mergeCell ref="A2:H2"/>
    <mergeCell ref="C13:D13"/>
    <mergeCell ref="C14:D14"/>
    <mergeCell ref="C15:D15"/>
    <mergeCell ref="F15:G15"/>
    <mergeCell ref="F32:G32"/>
    <mergeCell ref="F33:G33"/>
    <mergeCell ref="A20:H20"/>
    <mergeCell ref="A21:H21"/>
    <mergeCell ref="C32:D32"/>
    <mergeCell ref="C33:D33"/>
    <mergeCell ref="C34:D34"/>
    <mergeCell ref="F34:G34"/>
    <mergeCell ref="F51:G51"/>
    <mergeCell ref="F52:G52"/>
    <mergeCell ref="A39:H39"/>
    <mergeCell ref="A40:H40"/>
    <mergeCell ref="C51:D51"/>
    <mergeCell ref="C52:D52"/>
    <mergeCell ref="C53:D53"/>
    <mergeCell ref="F53:G53"/>
    <mergeCell ref="F70:G70"/>
    <mergeCell ref="F71:G71"/>
    <mergeCell ref="A58:H58"/>
    <mergeCell ref="A59:H59"/>
    <mergeCell ref="C70:D70"/>
    <mergeCell ref="C71:D71"/>
    <mergeCell ref="C72:D72"/>
    <mergeCell ref="F72:G72"/>
    <mergeCell ref="F88:G88"/>
    <mergeCell ref="F89:G89"/>
    <mergeCell ref="A77:H77"/>
    <mergeCell ref="A78:H78"/>
    <mergeCell ref="C88:D88"/>
    <mergeCell ref="C89:D89"/>
    <mergeCell ref="C90:D90"/>
    <mergeCell ref="F90:G9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2025-03-07T17:18:57Z</dcterms:modified>
</cp:coreProperties>
</file>